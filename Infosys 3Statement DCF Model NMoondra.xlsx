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luation School\"/>
    </mc:Choice>
  </mc:AlternateContent>
  <xr:revisionPtr revIDLastSave="0" documentId="13_ncr:1_{00446E8E-F4D3-41B0-A10B-CE6FE082F40D}" xr6:coauthVersionLast="47" xr6:coauthVersionMax="47" xr10:uidLastSave="{00000000-0000-0000-0000-000000000000}"/>
  <bookViews>
    <workbookView xWindow="-108" yWindow="-108" windowWidth="23256" windowHeight="12456" xr2:uid="{5ECF019B-D745-4453-A5C5-3DCD8AB4A758}"/>
  </bookViews>
  <sheets>
    <sheet name="Dashboard" sheetId="24" r:id="rId1"/>
    <sheet name=" Forecasted FS&gt;" sheetId="16" r:id="rId2"/>
    <sheet name="Ratio Analysis" sheetId="15" r:id="rId3"/>
    <sheet name="Forecasted Key Drivers" sheetId="17" r:id="rId4"/>
    <sheet name="Raw Data Sheet" sheetId="18" r:id="rId5"/>
    <sheet name="Raw Cash Flow " sheetId="19" r:id="rId6"/>
    <sheet name="WACC&gt;" sheetId="1" r:id="rId7"/>
    <sheet name="Data - Comps" sheetId="10" r:id="rId8"/>
    <sheet name="Infosys - Beta" sheetId="7" r:id="rId9"/>
    <sheet name="TCS - Beta" sheetId="5" r:id="rId10"/>
    <sheet name="HCL Technologies - Beta" sheetId="6" r:id="rId11"/>
    <sheet name="WIPRO - Beta" sheetId="8" r:id="rId12"/>
    <sheet name="Tech Mahindra - Beta" sheetId="9" r:id="rId13"/>
    <sheet name="Rm" sheetId="11" r:id="rId14"/>
    <sheet name="DCF&gt;" sheetId="4" r:id="rId15"/>
    <sheet name="Intrinsic Growth" sheetId="13" r:id="rId16"/>
    <sheet name="Infosys Raw FS" sheetId="12" r:id="rId17"/>
    <sheet name="Football Field Analysis&gt;" sheetId="14" r:id="rId18"/>
    <sheet name="Comps Value" sheetId="20" r:id="rId19"/>
    <sheet name="Comps Data" sheetId="21" r:id="rId20"/>
    <sheet name="LBO " sheetId="23" r:id="rId21"/>
  </sheets>
  <externalReferences>
    <externalReference r:id="rId22"/>
    <externalReference r:id="rId23"/>
  </externalReferences>
  <definedNames>
    <definedName name="_xlnm._FilterDatabase" localSheetId="7" hidden="1">'Data - Comps'!$B$2:$G$29</definedName>
    <definedName name="_INFOSYS">#REF!</definedName>
    <definedName name="_INFOSYSLTS">#REF!</definedName>
    <definedName name="Accrued_Liab_Pct">[2]Assumptions!$C$75</definedName>
    <definedName name="Bad_Debt_Pct">[2]Assumptions!$C$80</definedName>
    <definedName name="Benefits_Pct">[2]Assumptions!$C$55</definedName>
    <definedName name="Buyback">[2]Assumptions!$C$103</definedName>
    <definedName name="CASE">[1]LBO!$E$7</definedName>
    <definedName name="CIRC">[1]LBO!$E$6</definedName>
    <definedName name="Commit_Fee_Rate">[2]Assumptions!$C$89</definedName>
    <definedName name="Deferred_Rev_Pct">[2]Assumptions!$C$79</definedName>
    <definedName name="DIO">[2]Assumptions!$C$73</definedName>
    <definedName name="Dividend_Payout">[2]Assumptions!$C$99</definedName>
    <definedName name="DPO">[2]Assumptions!$C$74</definedName>
    <definedName name="DSCR_Floor">[2]Assumptions!$C$91</definedName>
    <definedName name="DSO">[2]Assumptions!$C$72</definedName>
    <definedName name="Employer_Tax_Pct">[2]Assumptions!$C$54</definedName>
    <definedName name="GA_FTE_Base">[2]Assumptions!$C$50</definedName>
    <definedName name="GA_FTE_Growth">[2]Assumptions!$C$52</definedName>
    <definedName name="GA_NonHead">[2]Assumptions!$C$53</definedName>
    <definedName name="GA_Salary">[2]Assumptions!$C$51</definedName>
    <definedName name="Growth_CapEx_Pct">[2]Assumptions!$F$67</definedName>
    <definedName name="Inflation">[2]Assumptions!$C$41</definedName>
    <definedName name="Insurance_Amount">[2]Assumptions!$C$60</definedName>
    <definedName name="Insurance_Esc">[2]Assumptions!$C$61</definedName>
    <definedName name="Int_Cov_Floor">[2]Assumptions!$C$93</definedName>
    <definedName name="Int_Income_Rate">[2]Assumptions!$C$94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everage_Ceil">[2]Assumptions!$C$92</definedName>
    <definedName name="Maint_CapEx_Pct">[2]Assumptions!$F$66</definedName>
    <definedName name="Min_Cash">[2]Assumptions!$C$90</definedName>
    <definedName name="Mktg_Pct">[2]Assumptions!$F$57</definedName>
    <definedName name="Model_Start_Year">[2]Assumptions!$C$10</definedName>
    <definedName name="New_Asset_Life">[2]Assumptions!$C$69</definedName>
    <definedName name="New_Debt_Draw">[2]Assumptions!$C$86</definedName>
    <definedName name="New_Issuance">[2]Assumptions!$C$102</definedName>
    <definedName name="NOL_Opening">[2]Assumptions!$C$98</definedName>
    <definedName name="Open_Acc_Depr">[2]Assumptions!$C$113</definedName>
    <definedName name="Open_Accrued">[2]Assumptions!$C$115</definedName>
    <definedName name="Open_AP">[2]Assumptions!$C$114</definedName>
    <definedName name="Open_AR">[2]Assumptions!$C$108</definedName>
    <definedName name="Open_Cash">[2]Assumptions!$C$107</definedName>
    <definedName name="Open_Deferred_Rev">[2]Assumptions!$C$116</definedName>
    <definedName name="Open_Inventory">[2]Assumptions!$C$109</definedName>
    <definedName name="Open_Other_CA">[2]Assumptions!$C$111</definedName>
    <definedName name="Open_Other_CL">[2]Assumptions!$C$117</definedName>
    <definedName name="Open_PPE_Gross">[2]Assumptions!$C$112</definedName>
    <definedName name="Open_Prepaid">[2]Assumptions!$C$110</definedName>
    <definedName name="Open_Ret_Earnings">[2]Assumptions!$C$123</definedName>
    <definedName name="Open_Share_Capital">[2]Assumptions!$C$119</definedName>
    <definedName name="Open_Term_Loan">[2]Assumptions!$C$118</definedName>
    <definedName name="Other_CA_Pct">[2]Assumptions!$C$76</definedName>
    <definedName name="Other_CL_Pct">[2]Assumptions!$C$77</definedName>
    <definedName name="Other_OpEx_Base">[2]Assumptions!$C$62</definedName>
    <definedName name="Other_OpEx_Growth">[2]Assumptions!$C$63</definedName>
    <definedName name="PIK">[1]LBO!$E$8</definedName>
    <definedName name="Prepaid_Pct">[2]Assumptions!$C$78</definedName>
    <definedName name="RD_FTE_Base">[2]Assumptions!$C$46</definedName>
    <definedName name="RD_FTE_Growth">[2]Assumptions!$C$48</definedName>
    <definedName name="RD_NonHead">[2]Assumptions!$C$49</definedName>
    <definedName name="RD_Salary">[2]Assumptions!$C$47</definedName>
    <definedName name="Rent_Amount">[2]Assumptions!$C$58</definedName>
    <definedName name="Rent_Escalation">[2]Assumptions!$C$59</definedName>
    <definedName name="Revolver_Drawn_Y0">[2]Assumptions!$C$88</definedName>
    <definedName name="Revolver_Limit">[2]Assumptions!$C$87</definedName>
    <definedName name="SBC_Dilution">[2]Assumptions!$C$104</definedName>
    <definedName name="SBC_Pct_Rev">[2]Assumptions!$C$56</definedName>
    <definedName name="Scenario">[2]Assumptions!$C$9</definedName>
    <definedName name="Seg1_Base_Rev">[2]Assumptions!$C$14</definedName>
    <definedName name="Seg1_COGS_Pct">[2]Assumptions!$C$36</definedName>
    <definedName name="Seg1_Growth_Y1">[2]Assumptions!$F$15</definedName>
    <definedName name="Seg1_Growth_Y2">[2]Assumptions!$F$16</definedName>
    <definedName name="Seg1_Growth_Y3">[2]Assumptions!$F$17</definedName>
    <definedName name="Seg1_Growth_Y4">[2]Assumptions!$F$18</definedName>
    <definedName name="Seg1_Growth_Y5">[2]Assumptions!$F$19</definedName>
    <definedName name="Seg2_Base_Rev">[2]Assumptions!$C$21</definedName>
    <definedName name="Seg2_COGS_Pct">[2]Assumptions!$C$37</definedName>
    <definedName name="Seg2_Growth_Y1">[2]Assumptions!$F$22</definedName>
    <definedName name="Seg2_Growth_Y2">[2]Assumptions!$F$23</definedName>
    <definedName name="Seg2_Growth_Y3">[2]Assumptions!$F$24</definedName>
    <definedName name="Seg2_Growth_Y4">[2]Assumptions!$F$25</definedName>
    <definedName name="Seg2_Growth_Y5">[2]Assumptions!$F$26</definedName>
    <definedName name="Seg3_Base_Rev">[2]Assumptions!$C$28</definedName>
    <definedName name="Seg3_COGS_Pct">[2]Assumptions!$C$38</definedName>
    <definedName name="Seg3_Growth_Y1">[2]Assumptions!$F$29</definedName>
    <definedName name="Seg3_Growth_Y2">[2]Assumptions!$F$30</definedName>
    <definedName name="Seg3_Growth_Y3">[2]Assumptions!$F$31</definedName>
    <definedName name="Seg3_Growth_Y4">[2]Assumptions!$F$32</definedName>
    <definedName name="Seg3_Growth_Y5">[2]Assumptions!$F$33</definedName>
    <definedName name="SM_FTE_Base">[2]Assumptions!$C$42</definedName>
    <definedName name="SM_FTE_Growth">[2]Assumptions!$C$44</definedName>
    <definedName name="SM_NonHead">[2]Assumptions!$C$45</definedName>
    <definedName name="SM_Salary">[2]Assumptions!$C$43</definedName>
    <definedName name="Tax_Rate">[2]Assumptions!$F$97</definedName>
    <definedName name="Term_Loan_Open">[2]Assumptions!$C$83</definedName>
    <definedName name="Term_Loan_Rate">[2]Assumptions!$C$84</definedName>
    <definedName name="Term_Loan_Tenor">[2]Assumptions!$C$85</definedName>
    <definedName name="UPDATE">'Raw Data Sheet'!$E$1</definedName>
    <definedName name="Useful_Life_Exist">[2]Assumptions!$C$68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" i="24" l="1"/>
  <c r="D103" i="24"/>
  <c r="D102" i="24"/>
  <c r="D104" i="24" s="1"/>
  <c r="D101" i="24"/>
  <c r="D100" i="24"/>
  <c r="J7" i="24"/>
  <c r="D23" i="24"/>
  <c r="E23" i="24"/>
  <c r="F23" i="24"/>
  <c r="G23" i="24"/>
  <c r="C23" i="24"/>
  <c r="D22" i="24"/>
  <c r="E22" i="24"/>
  <c r="F22" i="24"/>
  <c r="G22" i="24"/>
  <c r="C22" i="24"/>
  <c r="D21" i="24"/>
  <c r="E21" i="24"/>
  <c r="F21" i="24"/>
  <c r="G21" i="24"/>
  <c r="C21" i="24"/>
  <c r="D20" i="24"/>
  <c r="E20" i="24"/>
  <c r="F20" i="24"/>
  <c r="G20" i="24"/>
  <c r="C20" i="24"/>
  <c r="D19" i="24"/>
  <c r="E19" i="24"/>
  <c r="F19" i="24"/>
  <c r="G19" i="24"/>
  <c r="C19" i="24"/>
  <c r="D18" i="24"/>
  <c r="E18" i="24"/>
  <c r="F18" i="24"/>
  <c r="G18" i="24"/>
  <c r="C18" i="24"/>
  <c r="D17" i="24"/>
  <c r="E17" i="24"/>
  <c r="F17" i="24"/>
  <c r="G17" i="24"/>
  <c r="C17" i="24"/>
  <c r="J11" i="24"/>
  <c r="H11" i="24"/>
  <c r="F11" i="24"/>
  <c r="D11" i="24"/>
  <c r="B11" i="24"/>
  <c r="H7" i="24"/>
  <c r="F7" i="24"/>
  <c r="D7" i="24"/>
  <c r="B7" i="24"/>
  <c r="C16" i="24"/>
  <c r="D16" i="24"/>
  <c r="E16" i="24"/>
  <c r="F16" i="24"/>
  <c r="G16" i="24"/>
  <c r="C40" i="24"/>
  <c r="D40" i="24"/>
  <c r="C100" i="24"/>
  <c r="C102" i="24"/>
  <c r="C104" i="24"/>
  <c r="C106" i="24"/>
  <c r="H4" i="4"/>
  <c r="G4" i="4"/>
  <c r="D22" i="4"/>
  <c r="D26" i="4"/>
  <c r="D32" i="4" s="1"/>
  <c r="K26" i="1"/>
  <c r="L50" i="23"/>
  <c r="K50" i="23"/>
  <c r="L51" i="23"/>
  <c r="M51" i="23"/>
  <c r="N51" i="23"/>
  <c r="O51" i="23"/>
  <c r="K51" i="23"/>
  <c r="K45" i="23"/>
  <c r="L42" i="23"/>
  <c r="M42" i="23"/>
  <c r="N42" i="23"/>
  <c r="O42" i="23"/>
  <c r="K42" i="23"/>
  <c r="L39" i="23"/>
  <c r="M39" i="23"/>
  <c r="N39" i="23"/>
  <c r="O39" i="23"/>
  <c r="K39" i="23"/>
  <c r="K37" i="23"/>
  <c r="L36" i="23"/>
  <c r="M36" i="23"/>
  <c r="N36" i="23"/>
  <c r="O36" i="23"/>
  <c r="K36" i="23"/>
  <c r="F23" i="23"/>
  <c r="F25" i="23"/>
  <c r="F29" i="23"/>
  <c r="E27" i="23"/>
  <c r="E25" i="23"/>
  <c r="E16" i="23"/>
  <c r="N23" i="23"/>
  <c r="L65" i="23"/>
  <c r="M65" i="23" s="1"/>
  <c r="N65" i="23" s="1"/>
  <c r="O65" i="23" s="1"/>
  <c r="K92" i="23"/>
  <c r="K80" i="23"/>
  <c r="K86" i="23"/>
  <c r="E24" i="23"/>
  <c r="E9" i="23"/>
  <c r="E11" i="23" s="1"/>
  <c r="J11" i="23"/>
  <c r="J64" i="23" s="1"/>
  <c r="J70" i="23" s="1"/>
  <c r="J12" i="23"/>
  <c r="J60" i="23" s="1"/>
  <c r="J10" i="23"/>
  <c r="J57" i="23" s="1"/>
  <c r="J69" i="23" s="1"/>
  <c r="J9" i="23"/>
  <c r="E23" i="23" s="1"/>
  <c r="J8" i="23"/>
  <c r="J61" i="23" s="1"/>
  <c r="E10" i="23"/>
  <c r="J45" i="23"/>
  <c r="B23" i="23"/>
  <c r="B24" i="23"/>
  <c r="M24" i="23"/>
  <c r="J62" i="23"/>
  <c r="J71" i="23" s="1"/>
  <c r="J80" i="23"/>
  <c r="J81" i="23"/>
  <c r="J86" i="23"/>
  <c r="J92" i="23" s="1"/>
  <c r="J87" i="23"/>
  <c r="J93" i="23"/>
  <c r="L2" i="17"/>
  <c r="G2" i="17"/>
  <c r="B2" i="17"/>
  <c r="B2" i="15"/>
  <c r="B4" i="16"/>
  <c r="J8" i="5"/>
  <c r="M9" i="5"/>
  <c r="D34" i="1"/>
  <c r="P36" i="20"/>
  <c r="Q36" i="20"/>
  <c r="O36" i="20"/>
  <c r="O33" i="20"/>
  <c r="H8" i="20"/>
  <c r="Q14" i="20"/>
  <c r="M17" i="20"/>
  <c r="L17" i="20"/>
  <c r="K17" i="20"/>
  <c r="M16" i="20"/>
  <c r="L16" i="20"/>
  <c r="K16" i="20"/>
  <c r="M15" i="20"/>
  <c r="L15" i="20"/>
  <c r="K15" i="20"/>
  <c r="M14" i="20"/>
  <c r="L14" i="20"/>
  <c r="K14" i="20"/>
  <c r="M13" i="20"/>
  <c r="L13" i="20"/>
  <c r="K13" i="20"/>
  <c r="M12" i="20"/>
  <c r="L12" i="20"/>
  <c r="K12" i="20"/>
  <c r="M11" i="20"/>
  <c r="L11" i="20"/>
  <c r="K11" i="20"/>
  <c r="M10" i="20"/>
  <c r="L10" i="20"/>
  <c r="K10" i="20"/>
  <c r="M9" i="20"/>
  <c r="L9" i="20"/>
  <c r="K9" i="20"/>
  <c r="M8" i="20"/>
  <c r="L8" i="20"/>
  <c r="K8" i="20"/>
  <c r="G9" i="20"/>
  <c r="G10" i="20"/>
  <c r="G11" i="20"/>
  <c r="G12" i="20"/>
  <c r="G13" i="20"/>
  <c r="G14" i="20"/>
  <c r="G15" i="20"/>
  <c r="G16" i="20"/>
  <c r="G17" i="20"/>
  <c r="G8" i="20"/>
  <c r="O29" i="20" s="1"/>
  <c r="D38" i="4"/>
  <c r="E9" i="20"/>
  <c r="E10" i="20"/>
  <c r="E11" i="20"/>
  <c r="E12" i="20"/>
  <c r="E13" i="20"/>
  <c r="E14" i="20"/>
  <c r="E15" i="20"/>
  <c r="E16" i="20"/>
  <c r="E17" i="20"/>
  <c r="E8" i="20"/>
  <c r="D9" i="20"/>
  <c r="D10" i="20"/>
  <c r="D11" i="20"/>
  <c r="D12" i="20"/>
  <c r="D13" i="20"/>
  <c r="D14" i="20"/>
  <c r="D15" i="20"/>
  <c r="D16" i="20"/>
  <c r="D17" i="20"/>
  <c r="D8" i="20"/>
  <c r="F6" i="21"/>
  <c r="F7" i="21"/>
  <c r="F8" i="21"/>
  <c r="F9" i="21"/>
  <c r="F10" i="21"/>
  <c r="F11" i="21"/>
  <c r="F12" i="21"/>
  <c r="F13" i="21"/>
  <c r="F14" i="21"/>
  <c r="F5" i="21"/>
  <c r="B9" i="20"/>
  <c r="B10" i="20"/>
  <c r="B11" i="20"/>
  <c r="B12" i="20"/>
  <c r="B13" i="20"/>
  <c r="B14" i="20"/>
  <c r="B15" i="20"/>
  <c r="B16" i="20"/>
  <c r="B17" i="20"/>
  <c r="B8" i="20"/>
  <c r="I5" i="21"/>
  <c r="O5" i="14"/>
  <c r="N5" i="14" s="1"/>
  <c r="M5" i="14"/>
  <c r="L5" i="14" s="1"/>
  <c r="O6" i="14"/>
  <c r="N6" i="14" s="1"/>
  <c r="M6" i="14"/>
  <c r="L6" i="14" s="1"/>
  <c r="O7" i="14"/>
  <c r="N7" i="14" s="1"/>
  <c r="M7" i="14"/>
  <c r="L7" i="14" s="1"/>
  <c r="J49" i="13"/>
  <c r="K51" i="13"/>
  <c r="C34" i="1"/>
  <c r="F6" i="4"/>
  <c r="G6" i="4" s="1"/>
  <c r="I4" i="4"/>
  <c r="J4" i="4" s="1"/>
  <c r="K4" i="4" s="1"/>
  <c r="G42" i="13"/>
  <c r="C30" i="12"/>
  <c r="D30" i="12"/>
  <c r="E30" i="12"/>
  <c r="F30" i="12"/>
  <c r="G30" i="12"/>
  <c r="H30" i="12"/>
  <c r="I30" i="12"/>
  <c r="C50" i="12"/>
  <c r="D50" i="12"/>
  <c r="E50" i="12"/>
  <c r="F50" i="12"/>
  <c r="G50" i="12"/>
  <c r="H50" i="12"/>
  <c r="I50" i="12"/>
  <c r="G6" i="13"/>
  <c r="E34" i="1"/>
  <c r="D38" i="1"/>
  <c r="D10" i="7"/>
  <c r="H13" i="1"/>
  <c r="F14" i="1"/>
  <c r="F15" i="1"/>
  <c r="F16" i="1"/>
  <c r="F17" i="1"/>
  <c r="F13" i="1"/>
  <c r="B14" i="1"/>
  <c r="B15" i="1"/>
  <c r="B16" i="1"/>
  <c r="B17" i="1"/>
  <c r="B13" i="1"/>
  <c r="E14" i="1"/>
  <c r="E15" i="1"/>
  <c r="E16" i="1"/>
  <c r="E17" i="1"/>
  <c r="E13" i="1"/>
  <c r="H12" i="16"/>
  <c r="I75" i="16"/>
  <c r="C103" i="24" l="1"/>
  <c r="D106" i="24"/>
  <c r="C105" i="24" s="1"/>
  <c r="C101" i="24"/>
  <c r="E29" i="23"/>
  <c r="G27" i="23"/>
  <c r="G25" i="23"/>
  <c r="G29" i="23" s="1"/>
  <c r="E7" i="23"/>
  <c r="E8" i="23" s="1"/>
  <c r="O99" i="23" s="1"/>
  <c r="J51" i="23"/>
  <c r="K61" i="23"/>
  <c r="M61" i="23"/>
  <c r="N61" i="23"/>
  <c r="J58" i="23"/>
  <c r="J36" i="23"/>
  <c r="K60" i="23" s="1"/>
  <c r="K62" i="23" s="1"/>
  <c r="K71" i="23" s="1"/>
  <c r="M23" i="23"/>
  <c r="N25" i="23" s="1"/>
  <c r="J65" i="23"/>
  <c r="L61" i="23"/>
  <c r="J40" i="23"/>
  <c r="K40" i="23" s="1"/>
  <c r="L40" i="23" s="1"/>
  <c r="M40" i="23" s="1"/>
  <c r="N40" i="23" s="1"/>
  <c r="O40" i="23" s="1"/>
  <c r="O61" i="23"/>
  <c r="J39" i="23"/>
  <c r="J42" i="23" s="1"/>
  <c r="J47" i="23" s="1"/>
  <c r="N5" i="21"/>
  <c r="I6" i="21"/>
  <c r="N6" i="21"/>
  <c r="I7" i="21"/>
  <c r="N7" i="21"/>
  <c r="I8" i="21"/>
  <c r="N8" i="21"/>
  <c r="I9" i="21"/>
  <c r="N9" i="21"/>
  <c r="I10" i="21"/>
  <c r="N10" i="21"/>
  <c r="I11" i="21"/>
  <c r="N11" i="21"/>
  <c r="I12" i="21"/>
  <c r="N12" i="21"/>
  <c r="I13" i="21"/>
  <c r="N13" i="21"/>
  <c r="I14" i="21"/>
  <c r="N14" i="21"/>
  <c r="Q31" i="20"/>
  <c r="C12" i="16"/>
  <c r="B6" i="18"/>
  <c r="D4" i="17" a="1"/>
  <c r="B5" i="17"/>
  <c r="B6" i="17" s="1"/>
  <c r="G5" i="17"/>
  <c r="L5" i="17"/>
  <c r="L6" i="17" s="1"/>
  <c r="L7" i="17" s="1"/>
  <c r="L8" i="17" s="1"/>
  <c r="G6" i="17"/>
  <c r="G7" i="17" s="1"/>
  <c r="B7" i="17"/>
  <c r="B8" i="17" s="1"/>
  <c r="B9" i="17" s="1"/>
  <c r="B10" i="17" s="1"/>
  <c r="G8" i="17"/>
  <c r="G9" i="17" s="1"/>
  <c r="G10" i="17" s="1"/>
  <c r="G11" i="17" s="1"/>
  <c r="L9" i="17"/>
  <c r="L10" i="17" s="1"/>
  <c r="L11" i="17" s="1"/>
  <c r="B11" i="17"/>
  <c r="C5" i="16"/>
  <c r="M4" i="17" s="1"/>
  <c r="M5" i="17" s="1"/>
  <c r="M6" i="17" s="1"/>
  <c r="M7" i="17" s="1"/>
  <c r="M8" i="17" s="1"/>
  <c r="M9" i="17" s="1"/>
  <c r="M10" i="17" s="1"/>
  <c r="M11" i="17" s="1"/>
  <c r="M12" i="17" s="1"/>
  <c r="M13" i="17" s="1"/>
  <c r="M14" i="17" s="1"/>
  <c r="M15" i="17" s="1"/>
  <c r="C9" i="16"/>
  <c r="C25" i="16" s="1"/>
  <c r="D9" i="16"/>
  <c r="D15" i="16" s="1"/>
  <c r="E9" i="16"/>
  <c r="F9" i="16"/>
  <c r="G9" i="16"/>
  <c r="G19" i="16" s="1"/>
  <c r="G17" i="15" s="1"/>
  <c r="H9" i="16"/>
  <c r="H27" i="15" s="1"/>
  <c r="H33" i="15" s="1"/>
  <c r="I9" i="16"/>
  <c r="D12" i="16"/>
  <c r="E12" i="16"/>
  <c r="F12" i="16"/>
  <c r="G12" i="16"/>
  <c r="I12" i="16"/>
  <c r="G13" i="16"/>
  <c r="H13" i="16"/>
  <c r="C18" i="16"/>
  <c r="D18" i="16"/>
  <c r="E18" i="16"/>
  <c r="F18" i="16"/>
  <c r="F19" i="16" s="1"/>
  <c r="F17" i="15" s="1"/>
  <c r="G18" i="16"/>
  <c r="H18" i="16"/>
  <c r="H19" i="16" s="1"/>
  <c r="H17" i="15" s="1"/>
  <c r="I18" i="16"/>
  <c r="C24" i="16"/>
  <c r="J24" i="16" s="1"/>
  <c r="D24" i="16"/>
  <c r="E24" i="16"/>
  <c r="F24" i="16"/>
  <c r="G24" i="16"/>
  <c r="H24" i="16"/>
  <c r="I24" i="16"/>
  <c r="H25" i="16"/>
  <c r="C27" i="16"/>
  <c r="D27" i="16"/>
  <c r="D28" i="16" s="1"/>
  <c r="D18" i="15" s="1"/>
  <c r="E27" i="16"/>
  <c r="F27" i="16"/>
  <c r="N27" i="16" s="1"/>
  <c r="G27" i="16"/>
  <c r="H27" i="16"/>
  <c r="I27" i="16"/>
  <c r="K27" i="16"/>
  <c r="C33" i="16"/>
  <c r="D33" i="16"/>
  <c r="E33" i="16"/>
  <c r="F33" i="16"/>
  <c r="G33" i="16"/>
  <c r="H33" i="16"/>
  <c r="I33" i="16"/>
  <c r="C39" i="16"/>
  <c r="D39" i="16"/>
  <c r="E39" i="16"/>
  <c r="E44" i="16" s="1"/>
  <c r="F39" i="16"/>
  <c r="F44" i="16" s="1"/>
  <c r="G39" i="16"/>
  <c r="G44" i="16" s="1"/>
  <c r="H39" i="16"/>
  <c r="H44" i="16" s="1"/>
  <c r="I9" i="15" s="1"/>
  <c r="I39" i="16"/>
  <c r="I44" i="16"/>
  <c r="C52" i="16"/>
  <c r="D52" i="16"/>
  <c r="E52" i="16"/>
  <c r="F52" i="16"/>
  <c r="G52" i="16"/>
  <c r="G56" i="16" s="1"/>
  <c r="H52" i="16"/>
  <c r="I52" i="16"/>
  <c r="C53" i="16"/>
  <c r="D53" i="16"/>
  <c r="E53" i="16"/>
  <c r="F53" i="16"/>
  <c r="G53" i="16"/>
  <c r="H53" i="16"/>
  <c r="I53" i="16"/>
  <c r="C54" i="16"/>
  <c r="D54" i="16"/>
  <c r="E54" i="16"/>
  <c r="E40" i="15" s="1"/>
  <c r="F54" i="16"/>
  <c r="G54" i="16"/>
  <c r="H54" i="16"/>
  <c r="I54" i="16"/>
  <c r="I40" i="15" s="1"/>
  <c r="C55" i="16"/>
  <c r="D55" i="16"/>
  <c r="E55" i="16"/>
  <c r="F55" i="16"/>
  <c r="F28" i="15" s="1"/>
  <c r="F34" i="15" s="1"/>
  <c r="G55" i="16"/>
  <c r="H55" i="16"/>
  <c r="I55" i="16"/>
  <c r="C56" i="16"/>
  <c r="I56" i="16"/>
  <c r="C58" i="16"/>
  <c r="D58" i="16"/>
  <c r="E58" i="16"/>
  <c r="E62" i="16" s="1"/>
  <c r="F58" i="16"/>
  <c r="G58" i="16"/>
  <c r="H58" i="16"/>
  <c r="I58" i="16"/>
  <c r="J58" i="16"/>
  <c r="C59" i="16"/>
  <c r="D59" i="16"/>
  <c r="E59" i="16"/>
  <c r="F59" i="16"/>
  <c r="G59" i="16"/>
  <c r="H59" i="16"/>
  <c r="I59" i="16"/>
  <c r="J59" i="16"/>
  <c r="C60" i="16"/>
  <c r="D60" i="16"/>
  <c r="E60" i="16"/>
  <c r="F60" i="16"/>
  <c r="G60" i="16"/>
  <c r="H60" i="16"/>
  <c r="I60" i="16"/>
  <c r="J60" i="16"/>
  <c r="C61" i="16"/>
  <c r="D61" i="16"/>
  <c r="E61" i="16"/>
  <c r="F61" i="16"/>
  <c r="G61" i="16"/>
  <c r="H61" i="16"/>
  <c r="I61" i="16"/>
  <c r="D62" i="16"/>
  <c r="H62" i="16"/>
  <c r="I62" i="16"/>
  <c r="C64" i="16"/>
  <c r="J64" i="16" s="1"/>
  <c r="D64" i="16"/>
  <c r="E64" i="16"/>
  <c r="F64" i="16"/>
  <c r="F27" i="15" s="1"/>
  <c r="F33" i="15" s="1"/>
  <c r="G64" i="16"/>
  <c r="H64" i="16"/>
  <c r="I64" i="16"/>
  <c r="C65" i="16"/>
  <c r="C29" i="15" s="1"/>
  <c r="C35" i="15" s="1"/>
  <c r="D65" i="16"/>
  <c r="E65" i="16"/>
  <c r="F65" i="16"/>
  <c r="G65" i="16"/>
  <c r="H65" i="16"/>
  <c r="H67" i="16" s="1"/>
  <c r="H69" i="16" s="1"/>
  <c r="I65" i="16"/>
  <c r="C66" i="16"/>
  <c r="D66" i="16"/>
  <c r="E66" i="16"/>
  <c r="E67" i="16" s="1"/>
  <c r="F66" i="16"/>
  <c r="G66" i="16"/>
  <c r="H66" i="16"/>
  <c r="I66" i="16"/>
  <c r="I67" i="16" s="1"/>
  <c r="C75" i="16"/>
  <c r="D75" i="16"/>
  <c r="E75" i="16"/>
  <c r="F75" i="16"/>
  <c r="G75" i="16"/>
  <c r="H75" i="16"/>
  <c r="C76" i="16"/>
  <c r="D76" i="16"/>
  <c r="J76" i="16" s="1"/>
  <c r="E76" i="16"/>
  <c r="F76" i="16"/>
  <c r="G76" i="16"/>
  <c r="H76" i="16"/>
  <c r="I76" i="16"/>
  <c r="C77" i="16"/>
  <c r="D77" i="16"/>
  <c r="J77" i="16" s="1"/>
  <c r="E77" i="16"/>
  <c r="F77" i="16"/>
  <c r="G77" i="16"/>
  <c r="H77" i="16"/>
  <c r="I77" i="16"/>
  <c r="C78" i="16"/>
  <c r="D78" i="16"/>
  <c r="J78" i="16" s="1"/>
  <c r="E78" i="16"/>
  <c r="F78" i="16"/>
  <c r="G78" i="16"/>
  <c r="H78" i="16"/>
  <c r="I78" i="16"/>
  <c r="C79" i="16"/>
  <c r="D79" i="16"/>
  <c r="E79" i="16"/>
  <c r="F79" i="16"/>
  <c r="G79" i="16"/>
  <c r="H79" i="16"/>
  <c r="I79" i="16"/>
  <c r="C80" i="16"/>
  <c r="D80" i="16"/>
  <c r="E80" i="16"/>
  <c r="F80" i="16"/>
  <c r="G80" i="16"/>
  <c r="H80" i="16"/>
  <c r="I80" i="16"/>
  <c r="C81" i="16"/>
  <c r="J81" i="16" s="1"/>
  <c r="D81" i="16"/>
  <c r="E81" i="16"/>
  <c r="F81" i="16"/>
  <c r="G81" i="16"/>
  <c r="H81" i="16"/>
  <c r="I81" i="16"/>
  <c r="C85" i="16"/>
  <c r="D85" i="16"/>
  <c r="E85" i="16"/>
  <c r="F85" i="16"/>
  <c r="G85" i="16"/>
  <c r="H85" i="16"/>
  <c r="I85" i="16"/>
  <c r="C86" i="16"/>
  <c r="D86" i="16"/>
  <c r="E86" i="16"/>
  <c r="F86" i="16"/>
  <c r="G86" i="16"/>
  <c r="H86" i="16"/>
  <c r="I86" i="16"/>
  <c r="C87" i="16"/>
  <c r="D87" i="16"/>
  <c r="E87" i="16"/>
  <c r="F87" i="16"/>
  <c r="G87" i="16"/>
  <c r="H87" i="16"/>
  <c r="I87" i="16"/>
  <c r="C88" i="16"/>
  <c r="D88" i="16"/>
  <c r="E88" i="16"/>
  <c r="F88" i="16"/>
  <c r="G88" i="16"/>
  <c r="H88" i="16"/>
  <c r="I88" i="16"/>
  <c r="C89" i="16"/>
  <c r="D89" i="16"/>
  <c r="E89" i="16"/>
  <c r="F89" i="16"/>
  <c r="G89" i="16"/>
  <c r="H89" i="16"/>
  <c r="I89" i="16"/>
  <c r="C90" i="16"/>
  <c r="D90" i="16"/>
  <c r="E90" i="16"/>
  <c r="F90" i="16"/>
  <c r="G90" i="16"/>
  <c r="H90" i="16"/>
  <c r="I90" i="16"/>
  <c r="C91" i="16"/>
  <c r="D91" i="16"/>
  <c r="E91" i="16"/>
  <c r="F91" i="16"/>
  <c r="G91" i="16"/>
  <c r="H91" i="16"/>
  <c r="I91" i="16"/>
  <c r="C92" i="16"/>
  <c r="D92" i="16"/>
  <c r="E92" i="16"/>
  <c r="F92" i="16"/>
  <c r="G92" i="16"/>
  <c r="H92" i="16"/>
  <c r="I92" i="16"/>
  <c r="J92" i="16"/>
  <c r="C96" i="16"/>
  <c r="D96" i="16"/>
  <c r="E96" i="16"/>
  <c r="F96" i="16"/>
  <c r="G96" i="16"/>
  <c r="G101" i="16" s="1"/>
  <c r="H96" i="16"/>
  <c r="I96" i="16"/>
  <c r="C97" i="16"/>
  <c r="C101" i="16" s="1"/>
  <c r="D97" i="16"/>
  <c r="E97" i="16"/>
  <c r="F97" i="16"/>
  <c r="G97" i="16"/>
  <c r="H97" i="16"/>
  <c r="I97" i="16"/>
  <c r="C98" i="16"/>
  <c r="D98" i="16"/>
  <c r="E98" i="16"/>
  <c r="F98" i="16"/>
  <c r="G98" i="16"/>
  <c r="H98" i="16"/>
  <c r="I98" i="16"/>
  <c r="C99" i="16"/>
  <c r="D99" i="16"/>
  <c r="E99" i="16"/>
  <c r="F99" i="16"/>
  <c r="G99" i="16"/>
  <c r="H99" i="16"/>
  <c r="I99" i="16"/>
  <c r="C100" i="16"/>
  <c r="D100" i="16"/>
  <c r="E100" i="16"/>
  <c r="F100" i="16"/>
  <c r="G100" i="16"/>
  <c r="H100" i="16"/>
  <c r="I100" i="16"/>
  <c r="J100" i="16"/>
  <c r="C3" i="15"/>
  <c r="D3" i="15"/>
  <c r="E3" i="15"/>
  <c r="F3" i="15"/>
  <c r="G3" i="15"/>
  <c r="H3" i="15"/>
  <c r="I3" i="15"/>
  <c r="F5" i="15"/>
  <c r="G5" i="15"/>
  <c r="D27" i="15"/>
  <c r="D33" i="15" s="1"/>
  <c r="I27" i="15"/>
  <c r="I33" i="15" s="1"/>
  <c r="C28" i="15"/>
  <c r="C34" i="15" s="1"/>
  <c r="D28" i="15"/>
  <c r="D34" i="15" s="1"/>
  <c r="E28" i="15"/>
  <c r="E34" i="15" s="1"/>
  <c r="G28" i="15"/>
  <c r="G34" i="15" s="1"/>
  <c r="H28" i="15"/>
  <c r="H34" i="15" s="1"/>
  <c r="I28" i="15"/>
  <c r="I34" i="15" s="1"/>
  <c r="F29" i="15"/>
  <c r="F35" i="15" s="1"/>
  <c r="G29" i="15"/>
  <c r="G35" i="15" s="1"/>
  <c r="E30" i="15"/>
  <c r="G30" i="15"/>
  <c r="I30" i="15"/>
  <c r="E31" i="15"/>
  <c r="F31" i="15"/>
  <c r="C40" i="15"/>
  <c r="D40" i="15"/>
  <c r="G40" i="15"/>
  <c r="H40" i="15"/>
  <c r="H42" i="13"/>
  <c r="G34" i="13"/>
  <c r="G7" i="11"/>
  <c r="J12" i="7"/>
  <c r="G23" i="23" l="1"/>
  <c r="G24" i="23"/>
  <c r="K58" i="23"/>
  <c r="K57" i="23" s="1"/>
  <c r="K69" i="23" s="1"/>
  <c r="N58" i="23"/>
  <c r="M58" i="23"/>
  <c r="O58" i="23"/>
  <c r="L58" i="23"/>
  <c r="F24" i="23"/>
  <c r="J85" i="23"/>
  <c r="J88" i="23" s="1"/>
  <c r="K85" i="23" s="1"/>
  <c r="J43" i="23"/>
  <c r="L64" i="23"/>
  <c r="L70" i="23" s="1"/>
  <c r="K65" i="23"/>
  <c r="K64" i="23" s="1"/>
  <c r="K70" i="23" s="1"/>
  <c r="L37" i="23"/>
  <c r="L57" i="23"/>
  <c r="L69" i="23" s="1"/>
  <c r="L60" i="23"/>
  <c r="L62" i="23" s="1"/>
  <c r="L71" i="23" s="1"/>
  <c r="M25" i="23"/>
  <c r="O23" i="23" s="1"/>
  <c r="J79" i="23"/>
  <c r="E69" i="16"/>
  <c r="I69" i="16"/>
  <c r="I39" i="15" s="1"/>
  <c r="K34" i="15"/>
  <c r="J53" i="16"/>
  <c r="K39" i="16"/>
  <c r="D30" i="15"/>
  <c r="L30" i="15" s="1"/>
  <c r="I101" i="16"/>
  <c r="J54" i="16"/>
  <c r="D25" i="16"/>
  <c r="I71" i="16"/>
  <c r="H28" i="16"/>
  <c r="H18" i="15" s="1"/>
  <c r="K18" i="16"/>
  <c r="F40" i="15"/>
  <c r="L40" i="15" s="1"/>
  <c r="H39" i="15"/>
  <c r="H30" i="15"/>
  <c r="C30" i="15"/>
  <c r="D29" i="15"/>
  <c r="D35" i="15" s="1"/>
  <c r="H5" i="15"/>
  <c r="H101" i="16"/>
  <c r="J96" i="16"/>
  <c r="F93" i="16"/>
  <c r="I93" i="16"/>
  <c r="I103" i="16" s="1"/>
  <c r="E82" i="16"/>
  <c r="E38" i="15" s="1"/>
  <c r="J66" i="16"/>
  <c r="K66" i="16" s="1"/>
  <c r="E56" i="16"/>
  <c r="J55" i="16"/>
  <c r="G28" i="16"/>
  <c r="G18" i="15" s="1"/>
  <c r="G25" i="16"/>
  <c r="H15" i="16"/>
  <c r="J12" i="16"/>
  <c r="D5" i="15"/>
  <c r="E101" i="16"/>
  <c r="H29" i="15"/>
  <c r="H35" i="15" s="1"/>
  <c r="H36" i="15" s="1"/>
  <c r="J98" i="16"/>
  <c r="K98" i="16" s="1"/>
  <c r="L98" i="16" s="1"/>
  <c r="J90" i="16"/>
  <c r="J88" i="16"/>
  <c r="J80" i="16"/>
  <c r="K80" i="16" s="1"/>
  <c r="L80" i="16" s="1"/>
  <c r="M80" i="16" s="1"/>
  <c r="N80" i="16" s="1"/>
  <c r="H82" i="16"/>
  <c r="H38" i="15" s="1"/>
  <c r="D82" i="16"/>
  <c r="D38" i="15" s="1"/>
  <c r="D67" i="16"/>
  <c r="D69" i="16" s="1"/>
  <c r="D56" i="16"/>
  <c r="H31" i="15"/>
  <c r="K52" i="16"/>
  <c r="G15" i="16"/>
  <c r="G16" i="16" s="1"/>
  <c r="G11" i="15" s="1"/>
  <c r="F9" i="15"/>
  <c r="G9" i="15"/>
  <c r="D16" i="16"/>
  <c r="D11" i="15" s="1"/>
  <c r="D21" i="16"/>
  <c r="J79" i="16"/>
  <c r="K79" i="16" s="1"/>
  <c r="J61" i="16"/>
  <c r="K61" i="16" s="1"/>
  <c r="D44" i="16"/>
  <c r="E9" i="15" s="1"/>
  <c r="K9" i="16"/>
  <c r="K28" i="16" s="1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J33" i="16"/>
  <c r="F28" i="16"/>
  <c r="F18" i="15" s="1"/>
  <c r="D19" i="16"/>
  <c r="D17" i="15" s="1"/>
  <c r="D13" i="16"/>
  <c r="G10" i="16"/>
  <c r="L34" i="15"/>
  <c r="L28" i="15"/>
  <c r="K76" i="16"/>
  <c r="K60" i="16"/>
  <c r="D31" i="15"/>
  <c r="H93" i="16"/>
  <c r="H103" i="16" s="1"/>
  <c r="D93" i="16"/>
  <c r="I82" i="16"/>
  <c r="I38" i="15" s="1"/>
  <c r="G82" i="16"/>
  <c r="G38" i="15" s="1"/>
  <c r="K38" i="15" s="1"/>
  <c r="J75" i="16"/>
  <c r="C82" i="16"/>
  <c r="C38" i="15" s="1"/>
  <c r="J65" i="16"/>
  <c r="L65" i="16" s="1"/>
  <c r="M65" i="16" s="1"/>
  <c r="K65" i="16"/>
  <c r="F36" i="15"/>
  <c r="H56" i="16"/>
  <c r="H71" i="16" s="1"/>
  <c r="G31" i="15"/>
  <c r="N39" i="16"/>
  <c r="H9" i="15"/>
  <c r="N18" i="16"/>
  <c r="G21" i="16"/>
  <c r="G30" i="16" s="1"/>
  <c r="C15" i="16"/>
  <c r="C13" i="16"/>
  <c r="H4" i="17"/>
  <c r="H5" i="17" s="1"/>
  <c r="H6" i="17" s="1"/>
  <c r="H7" i="17" s="1"/>
  <c r="H8" i="17" s="1"/>
  <c r="H9" i="17" s="1"/>
  <c r="H10" i="17" s="1"/>
  <c r="H11" i="17" s="1"/>
  <c r="H12" i="17" s="1"/>
  <c r="H13" i="17" s="1"/>
  <c r="H14" i="17" s="1"/>
  <c r="H15" i="17" s="1"/>
  <c r="D36" i="15"/>
  <c r="K78" i="16"/>
  <c r="L78" i="16" s="1"/>
  <c r="M78" i="16" s="1"/>
  <c r="K58" i="16"/>
  <c r="F30" i="15"/>
  <c r="D101" i="16"/>
  <c r="F101" i="16"/>
  <c r="E93" i="16"/>
  <c r="E103" i="16" s="1"/>
  <c r="F82" i="16"/>
  <c r="K55" i="16"/>
  <c r="K53" i="16"/>
  <c r="H10" i="16"/>
  <c r="D5" i="16"/>
  <c r="E5" i="16" s="1"/>
  <c r="F5" i="16" s="1"/>
  <c r="G5" i="16" s="1"/>
  <c r="H5" i="16" s="1"/>
  <c r="I5" i="16" s="1"/>
  <c r="J5" i="16" s="1"/>
  <c r="K5" i="16" s="1"/>
  <c r="L5" i="16" s="1"/>
  <c r="M5" i="16" s="1"/>
  <c r="N5" i="16" s="1"/>
  <c r="Q29" i="20"/>
  <c r="F17" i="20"/>
  <c r="Q17" i="20" s="1"/>
  <c r="F15" i="20"/>
  <c r="Q15" i="20" s="1"/>
  <c r="F13" i="20"/>
  <c r="F11" i="20"/>
  <c r="Q11" i="20" s="1"/>
  <c r="P31" i="20"/>
  <c r="O31" i="20"/>
  <c r="F8" i="20"/>
  <c r="Q8" i="20" s="1"/>
  <c r="F16" i="20"/>
  <c r="Q16" i="20" s="1"/>
  <c r="F12" i="20"/>
  <c r="Q12" i="20" s="1"/>
  <c r="F9" i="20"/>
  <c r="Q9" i="20" s="1"/>
  <c r="P29" i="20"/>
  <c r="F14" i="20"/>
  <c r="H14" i="20" s="1"/>
  <c r="F10" i="20"/>
  <c r="Q10" i="20" s="1"/>
  <c r="H11" i="20"/>
  <c r="Q13" i="20"/>
  <c r="H13" i="20"/>
  <c r="F38" i="15"/>
  <c r="F103" i="16"/>
  <c r="K75" i="16"/>
  <c r="J62" i="16"/>
  <c r="F62" i="16"/>
  <c r="B12" i="17"/>
  <c r="L52" i="16"/>
  <c r="M52" i="16"/>
  <c r="N52" i="16"/>
  <c r="C31" i="15"/>
  <c r="G48" i="16"/>
  <c r="G22" i="16"/>
  <c r="G12" i="15" s="1"/>
  <c r="I10" i="16"/>
  <c r="I13" i="16"/>
  <c r="I15" i="16"/>
  <c r="I19" i="16"/>
  <c r="I17" i="15" s="1"/>
  <c r="I25" i="16"/>
  <c r="I28" i="16"/>
  <c r="I18" i="15" s="1"/>
  <c r="I5" i="15"/>
  <c r="I29" i="15"/>
  <c r="I35" i="15" s="1"/>
  <c r="I36" i="15" s="1"/>
  <c r="L9" i="16"/>
  <c r="E10" i="16"/>
  <c r="E13" i="16"/>
  <c r="E15" i="16"/>
  <c r="E19" i="16"/>
  <c r="E17" i="15" s="1"/>
  <c r="E25" i="16"/>
  <c r="E28" i="16"/>
  <c r="E18" i="15" s="1"/>
  <c r="J9" i="16"/>
  <c r="M9" i="16"/>
  <c r="N9" i="16"/>
  <c r="F10" i="16"/>
  <c r="E5" i="15"/>
  <c r="E29" i="15"/>
  <c r="E39" i="15"/>
  <c r="L12" i="17"/>
  <c r="I31" i="15"/>
  <c r="K28" i="15"/>
  <c r="G21" i="15"/>
  <c r="K100" i="16"/>
  <c r="L100" i="16" s="1"/>
  <c r="K96" i="16"/>
  <c r="L96" i="16" s="1"/>
  <c r="K92" i="16"/>
  <c r="L92" i="16" s="1"/>
  <c r="K90" i="16"/>
  <c r="L90" i="16" s="1"/>
  <c r="K88" i="16"/>
  <c r="L88" i="16" s="1"/>
  <c r="J86" i="16"/>
  <c r="K86" i="16" s="1"/>
  <c r="L79" i="16"/>
  <c r="M79" i="16" s="1"/>
  <c r="L66" i="16"/>
  <c r="M66" i="16" s="1"/>
  <c r="N66" i="16" s="1"/>
  <c r="L61" i="16"/>
  <c r="M61" i="16" s="1"/>
  <c r="F56" i="16"/>
  <c r="J52" i="16"/>
  <c r="J56" i="16" s="1"/>
  <c r="G93" i="16"/>
  <c r="C93" i="16"/>
  <c r="J85" i="16"/>
  <c r="K85" i="16" s="1"/>
  <c r="F67" i="16"/>
  <c r="K33" i="16"/>
  <c r="N33" i="16"/>
  <c r="C103" i="16"/>
  <c r="E27" i="15"/>
  <c r="E33" i="15" s="1"/>
  <c r="J99" i="16"/>
  <c r="J97" i="16"/>
  <c r="J91" i="16"/>
  <c r="K91" i="16" s="1"/>
  <c r="J89" i="16"/>
  <c r="J87" i="16"/>
  <c r="K81" i="16"/>
  <c r="L81" i="16" s="1"/>
  <c r="K77" i="16"/>
  <c r="K64" i="16"/>
  <c r="L64" i="16" s="1"/>
  <c r="G67" i="16"/>
  <c r="G27" i="15"/>
  <c r="G33" i="15" s="1"/>
  <c r="G36" i="15" s="1"/>
  <c r="C67" i="16"/>
  <c r="J67" i="16" s="1"/>
  <c r="C27" i="15"/>
  <c r="K59" i="16"/>
  <c r="L59" i="16" s="1"/>
  <c r="G62" i="16"/>
  <c r="G69" i="16" s="1"/>
  <c r="C62" i="16"/>
  <c r="K54" i="16"/>
  <c r="K56" i="16" s="1"/>
  <c r="L39" i="16"/>
  <c r="M39" i="16"/>
  <c r="J39" i="16"/>
  <c r="C44" i="16"/>
  <c r="K24" i="16"/>
  <c r="F25" i="16"/>
  <c r="N24" i="16"/>
  <c r="N25" i="16" s="1"/>
  <c r="J13" i="16"/>
  <c r="G12" i="17"/>
  <c r="L76" i="16"/>
  <c r="M76" i="16" s="1"/>
  <c r="L60" i="16"/>
  <c r="M60" i="16" s="1"/>
  <c r="N60" i="16" s="1"/>
  <c r="L58" i="16"/>
  <c r="M58" i="16" s="1"/>
  <c r="L55" i="16"/>
  <c r="M55" i="16" s="1"/>
  <c r="L53" i="16"/>
  <c r="M53" i="16" s="1"/>
  <c r="L27" i="16"/>
  <c r="M27" i="16"/>
  <c r="M28" i="16" s="1"/>
  <c r="C28" i="16"/>
  <c r="C18" i="15" s="1"/>
  <c r="J27" i="16"/>
  <c r="L18" i="16"/>
  <c r="M18" i="16"/>
  <c r="M19" i="16" s="1"/>
  <c r="C19" i="16"/>
  <c r="C17" i="15" s="1"/>
  <c r="J18" i="16"/>
  <c r="K12" i="16"/>
  <c r="F13" i="16"/>
  <c r="F15" i="16"/>
  <c r="N12" i="16"/>
  <c r="D4" i="17"/>
  <c r="D5" i="17"/>
  <c r="E5" i="17" s="1"/>
  <c r="D6" i="17"/>
  <c r="D7" i="17"/>
  <c r="E7" i="17" s="1"/>
  <c r="D8" i="17"/>
  <c r="E8" i="17" s="1"/>
  <c r="D9" i="17"/>
  <c r="E9" i="17" s="1"/>
  <c r="D10" i="17"/>
  <c r="L33" i="16"/>
  <c r="M33" i="16"/>
  <c r="L24" i="16"/>
  <c r="L25" i="16" s="1"/>
  <c r="M24" i="16"/>
  <c r="L12" i="16"/>
  <c r="M12" i="16"/>
  <c r="D10" i="16"/>
  <c r="L43" i="23" l="1"/>
  <c r="M37" i="23"/>
  <c r="M57" i="23"/>
  <c r="M69" i="23" s="1"/>
  <c r="M60" i="23"/>
  <c r="M62" i="23" s="1"/>
  <c r="M71" i="23" s="1"/>
  <c r="M64" i="23"/>
  <c r="M70" i="23" s="1"/>
  <c r="K43" i="23"/>
  <c r="O25" i="23"/>
  <c r="O24" i="23"/>
  <c r="J82" i="23"/>
  <c r="J91" i="23"/>
  <c r="J48" i="23"/>
  <c r="J50" i="23"/>
  <c r="J53" i="23" s="1"/>
  <c r="K30" i="15"/>
  <c r="H21" i="16"/>
  <c r="H16" i="16"/>
  <c r="H11" i="15" s="1"/>
  <c r="K40" i="15"/>
  <c r="K13" i="16"/>
  <c r="J101" i="16"/>
  <c r="G103" i="16"/>
  <c r="E71" i="16"/>
  <c r="N13" i="16"/>
  <c r="K25" i="16"/>
  <c r="G25" i="15"/>
  <c r="K89" i="16"/>
  <c r="L89" i="16" s="1"/>
  <c r="J82" i="16"/>
  <c r="N78" i="16"/>
  <c r="L77" i="16"/>
  <c r="M77" i="16" s="1"/>
  <c r="N77" i="16" s="1"/>
  <c r="K82" i="16"/>
  <c r="D30" i="16"/>
  <c r="D21" i="15"/>
  <c r="D25" i="15"/>
  <c r="D22" i="16"/>
  <c r="D12" i="15" s="1"/>
  <c r="D48" i="16"/>
  <c r="D49" i="16" s="1"/>
  <c r="D13" i="15" s="1"/>
  <c r="D19" i="15" s="1"/>
  <c r="N61" i="16"/>
  <c r="L54" i="16"/>
  <c r="M54" i="16" s="1"/>
  <c r="M56" i="16" s="1"/>
  <c r="D103" i="16"/>
  <c r="N55" i="16"/>
  <c r="N79" i="16"/>
  <c r="N65" i="16"/>
  <c r="L38" i="15"/>
  <c r="C21" i="16"/>
  <c r="C16" i="16"/>
  <c r="C11" i="15" s="1"/>
  <c r="D39" i="15"/>
  <c r="D71" i="16"/>
  <c r="H16" i="20"/>
  <c r="H15" i="20"/>
  <c r="P15" i="20" s="1"/>
  <c r="H9" i="20"/>
  <c r="P9" i="20" s="1"/>
  <c r="H17" i="20"/>
  <c r="P17" i="20" s="1"/>
  <c r="H10" i="20"/>
  <c r="P10" i="20" s="1"/>
  <c r="H12" i="20"/>
  <c r="P12" i="20" s="1"/>
  <c r="P13" i="20"/>
  <c r="O13" i="20"/>
  <c r="O9" i="20"/>
  <c r="P16" i="20"/>
  <c r="O16" i="20"/>
  <c r="Q19" i="20"/>
  <c r="Q23" i="20"/>
  <c r="Q22" i="20"/>
  <c r="Q30" i="20" s="1"/>
  <c r="Q21" i="20"/>
  <c r="Q20" i="20"/>
  <c r="Q24" i="20"/>
  <c r="P14" i="20"/>
  <c r="O14" i="20"/>
  <c r="P11" i="20"/>
  <c r="O11" i="20"/>
  <c r="P8" i="20"/>
  <c r="O8" i="20"/>
  <c r="G13" i="17"/>
  <c r="E35" i="15"/>
  <c r="K29" i="15"/>
  <c r="L29" i="15"/>
  <c r="M10" i="16"/>
  <c r="M15" i="16"/>
  <c r="L10" i="16"/>
  <c r="L15" i="16"/>
  <c r="D11" i="17"/>
  <c r="E11" i="17" s="1"/>
  <c r="J69" i="16"/>
  <c r="J71" i="16" s="1"/>
  <c r="M13" i="16"/>
  <c r="L19" i="16"/>
  <c r="L28" i="16"/>
  <c r="N76" i="16"/>
  <c r="L44" i="16"/>
  <c r="M44" i="16"/>
  <c r="J44" i="16"/>
  <c r="D9" i="15"/>
  <c r="K44" i="16"/>
  <c r="N44" i="16"/>
  <c r="M81" i="16"/>
  <c r="E36" i="15"/>
  <c r="K97" i="16"/>
  <c r="L97" i="16" s="1"/>
  <c r="M88" i="16"/>
  <c r="M98" i="16"/>
  <c r="N98" i="16" s="1"/>
  <c r="L13" i="17"/>
  <c r="K5" i="15"/>
  <c r="L5" i="15"/>
  <c r="F69" i="16"/>
  <c r="L13" i="16"/>
  <c r="J19" i="16"/>
  <c r="M64" i="16"/>
  <c r="N64" i="16" s="1"/>
  <c r="J93" i="16"/>
  <c r="L85" i="16"/>
  <c r="L91" i="16"/>
  <c r="M91" i="16" s="1"/>
  <c r="N91" i="16" s="1"/>
  <c r="G49" i="16"/>
  <c r="G13" i="15" s="1"/>
  <c r="G19" i="15" s="1"/>
  <c r="M59" i="16"/>
  <c r="N59" i="16" s="1"/>
  <c r="K99" i="16"/>
  <c r="K101" i="16" s="1"/>
  <c r="N81" i="16"/>
  <c r="G71" i="16"/>
  <c r="G39" i="15"/>
  <c r="K67" i="16"/>
  <c r="L67" i="16" s="1"/>
  <c r="M67" i="16" s="1"/>
  <c r="M92" i="16"/>
  <c r="J10" i="16"/>
  <c r="J15" i="16"/>
  <c r="J25" i="16"/>
  <c r="E16" i="16"/>
  <c r="E11" i="15" s="1"/>
  <c r="E21" i="16"/>
  <c r="G34" i="16"/>
  <c r="G36" i="16"/>
  <c r="G31" i="16"/>
  <c r="G14" i="15" s="1"/>
  <c r="J28" i="16"/>
  <c r="M25" i="16"/>
  <c r="E10" i="17"/>
  <c r="E6" i="17"/>
  <c r="F16" i="16"/>
  <c r="F11" i="15" s="1"/>
  <c r="F21" i="16"/>
  <c r="L17" i="15"/>
  <c r="K17" i="15"/>
  <c r="K18" i="15"/>
  <c r="L18" i="15"/>
  <c r="N53" i="16"/>
  <c r="L62" i="16"/>
  <c r="N58" i="16"/>
  <c r="K15" i="16"/>
  <c r="K10" i="16"/>
  <c r="C69" i="16"/>
  <c r="L27" i="15"/>
  <c r="K27" i="15"/>
  <c r="C33" i="15"/>
  <c r="K62" i="16"/>
  <c r="K87" i="16"/>
  <c r="K93" i="16" s="1"/>
  <c r="L75" i="16"/>
  <c r="L86" i="16"/>
  <c r="M86" i="16" s="1"/>
  <c r="M90" i="16"/>
  <c r="M96" i="16"/>
  <c r="M100" i="16"/>
  <c r="N100" i="16" s="1"/>
  <c r="N15" i="16"/>
  <c r="N10" i="16"/>
  <c r="N19" i="16"/>
  <c r="N28" i="16"/>
  <c r="I16" i="16"/>
  <c r="I11" i="15" s="1"/>
  <c r="I21" i="16"/>
  <c r="K19" i="16"/>
  <c r="L31" i="15"/>
  <c r="K31" i="15"/>
  <c r="D12" i="17"/>
  <c r="E12" i="17" s="1"/>
  <c r="B13" i="17"/>
  <c r="N90" i="16"/>
  <c r="N92" i="16"/>
  <c r="N88" i="16"/>
  <c r="J54" i="23" l="1"/>
  <c r="J68" i="23"/>
  <c r="J72" i="23" s="1"/>
  <c r="N64" i="23"/>
  <c r="N70" i="23" s="1"/>
  <c r="N37" i="23"/>
  <c r="N57" i="23"/>
  <c r="N69" i="23" s="1"/>
  <c r="N60" i="23"/>
  <c r="N62" i="23" s="1"/>
  <c r="N71" i="23" s="1"/>
  <c r="F27" i="23"/>
  <c r="O104" i="23"/>
  <c r="J94" i="23"/>
  <c r="K79" i="23"/>
  <c r="M89" i="16"/>
  <c r="N89" i="16"/>
  <c r="H30" i="16"/>
  <c r="H21" i="15"/>
  <c r="H25" i="15"/>
  <c r="H6" i="15"/>
  <c r="H48" i="16"/>
  <c r="H22" i="16"/>
  <c r="H12" i="15" s="1"/>
  <c r="K69" i="16"/>
  <c r="K71" i="16" s="1"/>
  <c r="L56" i="16"/>
  <c r="J103" i="16"/>
  <c r="C25" i="15"/>
  <c r="C48" i="16"/>
  <c r="C30" i="16"/>
  <c r="D6" i="15"/>
  <c r="C21" i="15"/>
  <c r="C22" i="16"/>
  <c r="C12" i="15" s="1"/>
  <c r="M62" i="16"/>
  <c r="M69" i="16" s="1"/>
  <c r="M71" i="16" s="1"/>
  <c r="D34" i="16"/>
  <c r="D31" i="16"/>
  <c r="D14" i="15" s="1"/>
  <c r="D36" i="16"/>
  <c r="M75" i="16"/>
  <c r="M82" i="16" s="1"/>
  <c r="L82" i="16"/>
  <c r="M97" i="16"/>
  <c r="N97" i="16" s="1"/>
  <c r="O12" i="20"/>
  <c r="O15" i="20"/>
  <c r="O17" i="20"/>
  <c r="O10" i="20"/>
  <c r="O20" i="20" s="1"/>
  <c r="Q28" i="20"/>
  <c r="Q33" i="20"/>
  <c r="O4" i="14" s="1"/>
  <c r="N4" i="14" s="1"/>
  <c r="P22" i="20"/>
  <c r="P28" i="20" s="1"/>
  <c r="P30" i="20" s="1"/>
  <c r="P33" i="20" s="1"/>
  <c r="P21" i="20"/>
  <c r="P20" i="20"/>
  <c r="P24" i="20"/>
  <c r="P19" i="20"/>
  <c r="P23" i="20"/>
  <c r="K33" i="15"/>
  <c r="C36" i="15"/>
  <c r="L33" i="15"/>
  <c r="M85" i="16"/>
  <c r="N54" i="16"/>
  <c r="N56" i="16" s="1"/>
  <c r="D13" i="17"/>
  <c r="E13" i="17" s="1"/>
  <c r="B14" i="17"/>
  <c r="N96" i="16"/>
  <c r="N86" i="16"/>
  <c r="K16" i="16"/>
  <c r="K21" i="16"/>
  <c r="F30" i="16"/>
  <c r="F48" i="16"/>
  <c r="F21" i="15"/>
  <c r="F22" i="16"/>
  <c r="F12" i="15" s="1"/>
  <c r="F25" i="15"/>
  <c r="F6" i="15"/>
  <c r="G6" i="15"/>
  <c r="J21" i="16"/>
  <c r="J16" i="16"/>
  <c r="L9" i="15"/>
  <c r="K9" i="15"/>
  <c r="M16" i="16"/>
  <c r="M21" i="16"/>
  <c r="K35" i="15"/>
  <c r="L35" i="15"/>
  <c r="I22" i="16"/>
  <c r="I12" i="15" s="1"/>
  <c r="I30" i="16"/>
  <c r="I48" i="16"/>
  <c r="I6" i="15"/>
  <c r="I25" i="15"/>
  <c r="I21" i="15"/>
  <c r="N75" i="16"/>
  <c r="N82" i="16" s="1"/>
  <c r="N62" i="16"/>
  <c r="N69" i="16" s="1"/>
  <c r="N67" i="16"/>
  <c r="E22" i="16"/>
  <c r="E12" i="15" s="1"/>
  <c r="E30" i="16"/>
  <c r="E48" i="16"/>
  <c r="E6" i="15"/>
  <c r="E25" i="15"/>
  <c r="I4" i="17" a="1"/>
  <c r="E21" i="15"/>
  <c r="L99" i="16"/>
  <c r="L101" i="16" s="1"/>
  <c r="L14" i="17"/>
  <c r="G14" i="17"/>
  <c r="N16" i="16"/>
  <c r="N21" i="16"/>
  <c r="C71" i="16"/>
  <c r="C39" i="15"/>
  <c r="L69" i="16"/>
  <c r="L71" i="16" s="1"/>
  <c r="G41" i="16"/>
  <c r="G37" i="16"/>
  <c r="G15" i="15" s="1"/>
  <c r="G23" i="15"/>
  <c r="K11" i="15"/>
  <c r="L11" i="15"/>
  <c r="L87" i="16"/>
  <c r="L93" i="16" s="1"/>
  <c r="F71" i="16"/>
  <c r="F39" i="15"/>
  <c r="K103" i="16"/>
  <c r="L16" i="16"/>
  <c r="L21" i="16"/>
  <c r="M99" i="16"/>
  <c r="M101" i="16" s="1"/>
  <c r="M43" i="23" l="1"/>
  <c r="K91" i="23"/>
  <c r="K47" i="23"/>
  <c r="O64" i="23"/>
  <c r="O70" i="23" s="1"/>
  <c r="O37" i="23"/>
  <c r="O57" i="23"/>
  <c r="O69" i="23" s="1"/>
  <c r="O60" i="23"/>
  <c r="O62" i="23" s="1"/>
  <c r="O71" i="23" s="1"/>
  <c r="H49" i="16"/>
  <c r="H13" i="15" s="1"/>
  <c r="H19" i="15" s="1"/>
  <c r="H7" i="15"/>
  <c r="H31" i="16"/>
  <c r="H14" i="15" s="1"/>
  <c r="H8" i="15"/>
  <c r="H36" i="16"/>
  <c r="H34" i="16"/>
  <c r="M87" i="16"/>
  <c r="N87" i="16" s="1"/>
  <c r="C36" i="16"/>
  <c r="C31" i="16"/>
  <c r="C14" i="15" s="1"/>
  <c r="D8" i="15"/>
  <c r="C34" i="16"/>
  <c r="D37" i="16"/>
  <c r="D15" i="15" s="1"/>
  <c r="D41" i="16"/>
  <c r="D23" i="15"/>
  <c r="D7" i="15"/>
  <c r="C49" i="16"/>
  <c r="C13" i="15" s="1"/>
  <c r="C19" i="15" s="1"/>
  <c r="N71" i="16"/>
  <c r="O22" i="20"/>
  <c r="O28" i="20" s="1"/>
  <c r="O30" i="20" s="1"/>
  <c r="O19" i="20"/>
  <c r="O23" i="20"/>
  <c r="O24" i="20"/>
  <c r="O21" i="20"/>
  <c r="I5" i="17"/>
  <c r="I6" i="17"/>
  <c r="I7" i="17"/>
  <c r="I8" i="17"/>
  <c r="I9" i="17"/>
  <c r="I10" i="17"/>
  <c r="I4" i="17"/>
  <c r="E31" i="16"/>
  <c r="E14" i="15" s="1"/>
  <c r="E34" i="16"/>
  <c r="E36" i="16"/>
  <c r="E8" i="15"/>
  <c r="F49" i="16"/>
  <c r="F13" i="15" s="1"/>
  <c r="F19" i="15" s="1"/>
  <c r="F7" i="15"/>
  <c r="G7" i="15"/>
  <c r="K39" i="15"/>
  <c r="L39" i="15"/>
  <c r="N30" i="16"/>
  <c r="N22" i="16"/>
  <c r="N48" i="16"/>
  <c r="N49" i="16" s="1"/>
  <c r="G15" i="17"/>
  <c r="N99" i="16"/>
  <c r="N101" i="16" s="1"/>
  <c r="L25" i="15"/>
  <c r="K25" i="15"/>
  <c r="L12" i="15"/>
  <c r="K12" i="15"/>
  <c r="L103" i="16"/>
  <c r="I49" i="16"/>
  <c r="I13" i="15" s="1"/>
  <c r="I19" i="15" s="1"/>
  <c r="I7" i="15"/>
  <c r="F36" i="16"/>
  <c r="F31" i="16"/>
  <c r="F14" i="15" s="1"/>
  <c r="F8" i="15"/>
  <c r="F34" i="16"/>
  <c r="G8" i="15"/>
  <c r="L22" i="16"/>
  <c r="L30" i="16"/>
  <c r="L48" i="16"/>
  <c r="L49" i="16" s="1"/>
  <c r="G45" i="16"/>
  <c r="G47" i="16" s="1"/>
  <c r="G22" i="15" s="1"/>
  <c r="G24" i="15" s="1"/>
  <c r="K21" i="15"/>
  <c r="L21" i="15"/>
  <c r="E49" i="16"/>
  <c r="E13" i="15" s="1"/>
  <c r="E7" i="15"/>
  <c r="M22" i="16"/>
  <c r="M30" i="16"/>
  <c r="M48" i="16"/>
  <c r="M49" i="16" s="1"/>
  <c r="L6" i="15"/>
  <c r="K6" i="15"/>
  <c r="I31" i="16"/>
  <c r="I14" i="15" s="1"/>
  <c r="I34" i="16"/>
  <c r="I36" i="16"/>
  <c r="I8" i="15"/>
  <c r="J22" i="16"/>
  <c r="J30" i="16"/>
  <c r="J48" i="16"/>
  <c r="J49" i="16" s="1"/>
  <c r="K22" i="16"/>
  <c r="K48" i="16"/>
  <c r="K49" i="16" s="1"/>
  <c r="K30" i="16"/>
  <c r="L15" i="17"/>
  <c r="D14" i="17"/>
  <c r="E14" i="17" s="1"/>
  <c r="B15" i="17"/>
  <c r="D15" i="17" s="1"/>
  <c r="N85" i="16"/>
  <c r="L36" i="15"/>
  <c r="K36" i="15"/>
  <c r="K53" i="23" l="1"/>
  <c r="K48" i="23"/>
  <c r="O98" i="23"/>
  <c r="O100" i="23" s="1"/>
  <c r="N43" i="23"/>
  <c r="M93" i="16"/>
  <c r="M103" i="16" s="1"/>
  <c r="N93" i="16"/>
  <c r="N103" i="16" s="1"/>
  <c r="H41" i="16"/>
  <c r="H37" i="16"/>
  <c r="H15" i="15" s="1"/>
  <c r="H23" i="15"/>
  <c r="J8" i="17"/>
  <c r="D47" i="16"/>
  <c r="D22" i="15" s="1"/>
  <c r="D24" i="15" s="1"/>
  <c r="D45" i="16"/>
  <c r="C23" i="15"/>
  <c r="C41" i="16"/>
  <c r="C37" i="16"/>
  <c r="C15" i="15" s="1"/>
  <c r="M4" i="14"/>
  <c r="L4" i="14" s="1"/>
  <c r="J10" i="17"/>
  <c r="J6" i="17"/>
  <c r="I15" i="17"/>
  <c r="L31" i="16"/>
  <c r="L36" i="16"/>
  <c r="L34" i="16"/>
  <c r="E37" i="16"/>
  <c r="E15" i="15" s="1"/>
  <c r="E41" i="16"/>
  <c r="E23" i="15"/>
  <c r="E15" i="17"/>
  <c r="K36" i="16"/>
  <c r="K31" i="16"/>
  <c r="K34" i="16"/>
  <c r="J31" i="16"/>
  <c r="J36" i="16"/>
  <c r="J34" i="16"/>
  <c r="K7" i="15"/>
  <c r="L7" i="15"/>
  <c r="I14" i="17"/>
  <c r="J9" i="17"/>
  <c r="J5" i="17"/>
  <c r="N36" i="16"/>
  <c r="N31" i="16"/>
  <c r="N34" i="16"/>
  <c r="M31" i="16"/>
  <c r="M36" i="16"/>
  <c r="M34" i="16"/>
  <c r="E19" i="15"/>
  <c r="L13" i="15"/>
  <c r="K13" i="15"/>
  <c r="L14" i="15"/>
  <c r="K14" i="15"/>
  <c r="I37" i="16"/>
  <c r="I15" i="15" s="1"/>
  <c r="I41" i="16"/>
  <c r="I23" i="15"/>
  <c r="F37" i="16"/>
  <c r="F15" i="15" s="1"/>
  <c r="F23" i="15"/>
  <c r="F41" i="16"/>
  <c r="K8" i="15"/>
  <c r="L8" i="15"/>
  <c r="I11" i="17"/>
  <c r="J11" i="17" s="1"/>
  <c r="I12" i="17"/>
  <c r="I13" i="17"/>
  <c r="J7" i="17"/>
  <c r="O43" i="23" l="1"/>
  <c r="K54" i="23"/>
  <c r="K68" i="23"/>
  <c r="K72" i="23" s="1"/>
  <c r="H45" i="16"/>
  <c r="H47" i="16" s="1"/>
  <c r="H22" i="15" s="1"/>
  <c r="H24" i="15" s="1"/>
  <c r="H42" i="16"/>
  <c r="D42" i="16"/>
  <c r="C45" i="16"/>
  <c r="C47" i="16" s="1"/>
  <c r="C22" i="15" s="1"/>
  <c r="C24" i="15" s="1"/>
  <c r="J15" i="17"/>
  <c r="J12" i="17"/>
  <c r="J14" i="17"/>
  <c r="J41" i="16"/>
  <c r="J37" i="16"/>
  <c r="K37" i="16"/>
  <c r="K41" i="16"/>
  <c r="L15" i="15"/>
  <c r="K15" i="15"/>
  <c r="F42" i="16"/>
  <c r="F45" i="16"/>
  <c r="F47" i="16" s="1"/>
  <c r="F22" i="15" s="1"/>
  <c r="F24" i="15" s="1"/>
  <c r="G42" i="16"/>
  <c r="E42" i="16"/>
  <c r="E45" i="16"/>
  <c r="E47" i="16"/>
  <c r="E22" i="15" s="1"/>
  <c r="N4" i="17" a="1"/>
  <c r="I42" i="16"/>
  <c r="I45" i="16"/>
  <c r="I47" i="16"/>
  <c r="I22" i="15" s="1"/>
  <c r="I24" i="15" s="1"/>
  <c r="M37" i="16"/>
  <c r="M41" i="16"/>
  <c r="N37" i="16"/>
  <c r="N41" i="16"/>
  <c r="K19" i="15"/>
  <c r="L19" i="15"/>
  <c r="J13" i="17"/>
  <c r="K23" i="15"/>
  <c r="L23" i="15"/>
  <c r="L37" i="16"/>
  <c r="L41" i="16"/>
  <c r="K81" i="23" l="1"/>
  <c r="N5" i="17"/>
  <c r="N6" i="17"/>
  <c r="O6" i="17" s="1"/>
  <c r="N7" i="17"/>
  <c r="O7" i="17" s="1"/>
  <c r="N8" i="17"/>
  <c r="N9" i="17"/>
  <c r="N10" i="17"/>
  <c r="O10" i="17" s="1"/>
  <c r="N4" i="17"/>
  <c r="M42" i="16"/>
  <c r="M45" i="16"/>
  <c r="M47" i="16" s="1"/>
  <c r="L42" i="16"/>
  <c r="L45" i="16"/>
  <c r="L47" i="16" s="1"/>
  <c r="E24" i="15"/>
  <c r="L22" i="15"/>
  <c r="K22" i="15"/>
  <c r="J42" i="16"/>
  <c r="J45" i="16"/>
  <c r="J47" i="16" s="1"/>
  <c r="N42" i="16"/>
  <c r="N45" i="16"/>
  <c r="N47" i="16" s="1"/>
  <c r="K42" i="16"/>
  <c r="K45" i="16"/>
  <c r="K47" i="16" s="1"/>
  <c r="K82" i="23" l="1"/>
  <c r="K87" i="23"/>
  <c r="K88" i="23" s="1"/>
  <c r="L85" i="23" s="1"/>
  <c r="L86" i="23" s="1"/>
  <c r="O8" i="17"/>
  <c r="N11" i="17"/>
  <c r="O11" i="17" s="1"/>
  <c r="N12" i="17"/>
  <c r="N13" i="17"/>
  <c r="N14" i="17"/>
  <c r="N15" i="17"/>
  <c r="K24" i="15"/>
  <c r="L24" i="15"/>
  <c r="O9" i="17"/>
  <c r="O5" i="17"/>
  <c r="D24" i="4"/>
  <c r="K93" i="23" l="1"/>
  <c r="L79" i="23"/>
  <c r="L80" i="23" s="1"/>
  <c r="K94" i="23"/>
  <c r="O13" i="17"/>
  <c r="O14" i="17"/>
  <c r="O12" i="17"/>
  <c r="O15" i="17"/>
  <c r="D36" i="4"/>
  <c r="D35" i="4"/>
  <c r="B31" i="4"/>
  <c r="H11" i="4"/>
  <c r="I11" i="4" s="1"/>
  <c r="J11" i="4" s="1"/>
  <c r="K11" i="4" s="1"/>
  <c r="L91" i="23" l="1"/>
  <c r="L92" i="23"/>
  <c r="K35" i="13"/>
  <c r="J35" i="13"/>
  <c r="I35" i="13"/>
  <c r="H35" i="13"/>
  <c r="H45" i="13" s="1"/>
  <c r="H47" i="13" s="1"/>
  <c r="G35" i="13"/>
  <c r="G37" i="13" s="1"/>
  <c r="K34" i="13"/>
  <c r="K37" i="13" s="1"/>
  <c r="K60" i="13" s="1"/>
  <c r="J34" i="13"/>
  <c r="I34" i="13"/>
  <c r="I37" i="13" s="1"/>
  <c r="I60" i="13" s="1"/>
  <c r="H34" i="13"/>
  <c r="K42" i="13"/>
  <c r="J42" i="13"/>
  <c r="I42" i="13"/>
  <c r="K45" i="13"/>
  <c r="K47" i="13" s="1"/>
  <c r="I45" i="13"/>
  <c r="I47" i="13" s="1"/>
  <c r="G45" i="13"/>
  <c r="G47" i="13" s="1"/>
  <c r="N50" i="12"/>
  <c r="M50" i="12"/>
  <c r="L50" i="12"/>
  <c r="K50" i="12"/>
  <c r="J50" i="12"/>
  <c r="K31" i="13"/>
  <c r="J31" i="13"/>
  <c r="I31" i="13"/>
  <c r="H31" i="13"/>
  <c r="G31" i="13"/>
  <c r="K29" i="13"/>
  <c r="J29" i="13"/>
  <c r="I29" i="13"/>
  <c r="H29" i="13"/>
  <c r="G29" i="13"/>
  <c r="K28" i="13"/>
  <c r="J28" i="13"/>
  <c r="I28" i="13"/>
  <c r="H28" i="13"/>
  <c r="G28" i="13"/>
  <c r="K27" i="13"/>
  <c r="J27" i="13"/>
  <c r="I27" i="13"/>
  <c r="H27" i="13"/>
  <c r="G27" i="13"/>
  <c r="K26" i="13"/>
  <c r="J26" i="13"/>
  <c r="I26" i="13"/>
  <c r="H26" i="13"/>
  <c r="G26" i="13"/>
  <c r="K25" i="13"/>
  <c r="J25" i="13"/>
  <c r="I25" i="13"/>
  <c r="H25" i="13"/>
  <c r="G25" i="13"/>
  <c r="K24" i="13"/>
  <c r="J24" i="13"/>
  <c r="I24" i="13"/>
  <c r="H24" i="13"/>
  <c r="G24" i="13"/>
  <c r="K23" i="13"/>
  <c r="J23" i="13"/>
  <c r="I23" i="13"/>
  <c r="H23" i="13"/>
  <c r="G23" i="13"/>
  <c r="K22" i="13"/>
  <c r="J22" i="13"/>
  <c r="I22" i="13"/>
  <c r="H22" i="13"/>
  <c r="G22" i="13"/>
  <c r="K21" i="13"/>
  <c r="J21" i="13"/>
  <c r="I21" i="13"/>
  <c r="H21" i="13"/>
  <c r="G21" i="13"/>
  <c r="B29" i="13"/>
  <c r="B22" i="13"/>
  <c r="B23" i="13"/>
  <c r="B24" i="13"/>
  <c r="B25" i="13"/>
  <c r="B26" i="13"/>
  <c r="B27" i="13"/>
  <c r="B28" i="13"/>
  <c r="B21" i="13"/>
  <c r="K15" i="13"/>
  <c r="J15" i="13"/>
  <c r="I15" i="13"/>
  <c r="H15" i="13"/>
  <c r="G15" i="13"/>
  <c r="K14" i="13"/>
  <c r="J14" i="13"/>
  <c r="I14" i="13"/>
  <c r="H14" i="13"/>
  <c r="G14" i="13"/>
  <c r="K13" i="13"/>
  <c r="J13" i="13"/>
  <c r="I13" i="13"/>
  <c r="H13" i="13"/>
  <c r="G13" i="13"/>
  <c r="K12" i="13"/>
  <c r="J12" i="13"/>
  <c r="I12" i="13"/>
  <c r="H12" i="13"/>
  <c r="G12" i="13"/>
  <c r="K8" i="13"/>
  <c r="J8" i="13"/>
  <c r="I8" i="13"/>
  <c r="H8" i="13"/>
  <c r="G8" i="13"/>
  <c r="K7" i="13"/>
  <c r="J7" i="13"/>
  <c r="I7" i="13"/>
  <c r="H7" i="13"/>
  <c r="G7" i="13"/>
  <c r="K6" i="13"/>
  <c r="J6" i="13"/>
  <c r="I6" i="13"/>
  <c r="H6" i="13"/>
  <c r="N30" i="12"/>
  <c r="M30" i="12"/>
  <c r="L30" i="12"/>
  <c r="K30" i="12"/>
  <c r="J30" i="12"/>
  <c r="G9" i="11"/>
  <c r="C35" i="1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G112" i="9"/>
  <c r="D112" i="9"/>
  <c r="G111" i="9"/>
  <c r="D111" i="9"/>
  <c r="G110" i="9"/>
  <c r="D110" i="9"/>
  <c r="G109" i="9"/>
  <c r="D109" i="9"/>
  <c r="G108" i="9"/>
  <c r="D108" i="9"/>
  <c r="G107" i="9"/>
  <c r="D107" i="9"/>
  <c r="G106" i="9"/>
  <c r="D106" i="9"/>
  <c r="G105" i="9"/>
  <c r="D105" i="9"/>
  <c r="G104" i="9"/>
  <c r="D104" i="9"/>
  <c r="G103" i="9"/>
  <c r="D103" i="9"/>
  <c r="G102" i="9"/>
  <c r="D102" i="9"/>
  <c r="G101" i="9"/>
  <c r="D101" i="9"/>
  <c r="G100" i="9"/>
  <c r="D100" i="9"/>
  <c r="G99" i="9"/>
  <c r="D99" i="9"/>
  <c r="G98" i="9"/>
  <c r="D98" i="9"/>
  <c r="G97" i="9"/>
  <c r="D97" i="9"/>
  <c r="G96" i="9"/>
  <c r="D96" i="9"/>
  <c r="G95" i="9"/>
  <c r="D95" i="9"/>
  <c r="G94" i="9"/>
  <c r="D94" i="9"/>
  <c r="G93" i="9"/>
  <c r="D93" i="9"/>
  <c r="G92" i="9"/>
  <c r="D92" i="9"/>
  <c r="G91" i="9"/>
  <c r="D91" i="9"/>
  <c r="G90" i="9"/>
  <c r="D90" i="9"/>
  <c r="G89" i="9"/>
  <c r="D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J12" i="9"/>
  <c r="G12" i="9"/>
  <c r="D12" i="9"/>
  <c r="G11" i="9"/>
  <c r="D11" i="9"/>
  <c r="G10" i="9"/>
  <c r="D10" i="9"/>
  <c r="G112" i="8"/>
  <c r="D112" i="8"/>
  <c r="G111" i="8"/>
  <c r="D111" i="8"/>
  <c r="G110" i="8"/>
  <c r="D110" i="8"/>
  <c r="G109" i="8"/>
  <c r="D109" i="8"/>
  <c r="G108" i="8"/>
  <c r="D108" i="8"/>
  <c r="G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J12" i="8"/>
  <c r="G12" i="8"/>
  <c r="D12" i="8"/>
  <c r="G11" i="8"/>
  <c r="D11" i="8"/>
  <c r="G10" i="8"/>
  <c r="D10" i="8"/>
  <c r="J8" i="8" s="1"/>
  <c r="G112" i="7"/>
  <c r="D112" i="7"/>
  <c r="G111" i="7"/>
  <c r="D111" i="7"/>
  <c r="G110" i="7"/>
  <c r="D110" i="7"/>
  <c r="G109" i="7"/>
  <c r="D109" i="7"/>
  <c r="G108" i="7"/>
  <c r="D108" i="7"/>
  <c r="G107" i="7"/>
  <c r="D107" i="7"/>
  <c r="G106" i="7"/>
  <c r="D106" i="7"/>
  <c r="G105" i="7"/>
  <c r="D105" i="7"/>
  <c r="G104" i="7"/>
  <c r="D104" i="7"/>
  <c r="G103" i="7"/>
  <c r="D103" i="7"/>
  <c r="G102" i="7"/>
  <c r="D102" i="7"/>
  <c r="G101" i="7"/>
  <c r="D101" i="7"/>
  <c r="G100" i="7"/>
  <c r="D100" i="7"/>
  <c r="G99" i="7"/>
  <c r="D99" i="7"/>
  <c r="G98" i="7"/>
  <c r="D98" i="7"/>
  <c r="G97" i="7"/>
  <c r="D97" i="7"/>
  <c r="G96" i="7"/>
  <c r="D96" i="7"/>
  <c r="G95" i="7"/>
  <c r="D95" i="7"/>
  <c r="G94" i="7"/>
  <c r="D94" i="7"/>
  <c r="G93" i="7"/>
  <c r="D93" i="7"/>
  <c r="G92" i="7"/>
  <c r="D92" i="7"/>
  <c r="G91" i="7"/>
  <c r="D91" i="7"/>
  <c r="G90" i="7"/>
  <c r="D90" i="7"/>
  <c r="G89" i="7"/>
  <c r="D89" i="7"/>
  <c r="G88" i="7"/>
  <c r="D88" i="7"/>
  <c r="G87" i="7"/>
  <c r="D87" i="7"/>
  <c r="G86" i="7"/>
  <c r="D86" i="7"/>
  <c r="G85" i="7"/>
  <c r="D85" i="7"/>
  <c r="G84" i="7"/>
  <c r="D84" i="7"/>
  <c r="G83" i="7"/>
  <c r="D83" i="7"/>
  <c r="G82" i="7"/>
  <c r="D82" i="7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G72" i="7"/>
  <c r="D72" i="7"/>
  <c r="G71" i="7"/>
  <c r="D71" i="7"/>
  <c r="G70" i="7"/>
  <c r="D70" i="7"/>
  <c r="G69" i="7"/>
  <c r="D69" i="7"/>
  <c r="G68" i="7"/>
  <c r="D68" i="7"/>
  <c r="G67" i="7"/>
  <c r="D67" i="7"/>
  <c r="G66" i="7"/>
  <c r="D66" i="7"/>
  <c r="G65" i="7"/>
  <c r="D65" i="7"/>
  <c r="G64" i="7"/>
  <c r="D64" i="7"/>
  <c r="G63" i="7"/>
  <c r="D63" i="7"/>
  <c r="G62" i="7"/>
  <c r="D62" i="7"/>
  <c r="G61" i="7"/>
  <c r="D61" i="7"/>
  <c r="G60" i="7"/>
  <c r="D60" i="7"/>
  <c r="G59" i="7"/>
  <c r="D59" i="7"/>
  <c r="G58" i="7"/>
  <c r="D58" i="7"/>
  <c r="G57" i="7"/>
  <c r="D57" i="7"/>
  <c r="G56" i="7"/>
  <c r="D56" i="7"/>
  <c r="G55" i="7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J12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J8" i="6" s="1"/>
  <c r="J12" i="5"/>
  <c r="L45" i="23" l="1"/>
  <c r="L47" i="23" s="1"/>
  <c r="J8" i="7"/>
  <c r="J13" i="1" s="1"/>
  <c r="K13" i="1" s="1"/>
  <c r="G8" i="4"/>
  <c r="J8" i="9"/>
  <c r="J14" i="9" s="1"/>
  <c r="G30" i="13"/>
  <c r="G32" i="13" s="1"/>
  <c r="J37" i="13"/>
  <c r="J60" i="13" s="1"/>
  <c r="H37" i="13"/>
  <c r="H60" i="13" s="1"/>
  <c r="F8" i="4"/>
  <c r="F10" i="4" s="1"/>
  <c r="H6" i="4"/>
  <c r="I6" i="4" s="1"/>
  <c r="H9" i="13"/>
  <c r="I16" i="13"/>
  <c r="H30" i="13"/>
  <c r="H32" i="13" s="1"/>
  <c r="K30" i="13"/>
  <c r="K32" i="13" s="1"/>
  <c r="J16" i="13"/>
  <c r="I30" i="13"/>
  <c r="I32" i="13" s="1"/>
  <c r="G16" i="13"/>
  <c r="K16" i="13"/>
  <c r="J30" i="13"/>
  <c r="J32" i="13" s="1"/>
  <c r="G9" i="13"/>
  <c r="K9" i="13"/>
  <c r="H16" i="13"/>
  <c r="H18" i="13" s="1"/>
  <c r="I9" i="13"/>
  <c r="I18" i="13" s="1"/>
  <c r="J45" i="13"/>
  <c r="J47" i="13" s="1"/>
  <c r="J9" i="13"/>
  <c r="I13" i="1"/>
  <c r="L53" i="23" l="1"/>
  <c r="L54" i="23" s="1"/>
  <c r="L48" i="23"/>
  <c r="L68" i="23"/>
  <c r="L72" i="23" s="1"/>
  <c r="J17" i="1"/>
  <c r="J14" i="6"/>
  <c r="J15" i="1"/>
  <c r="J14" i="7"/>
  <c r="J18" i="13"/>
  <c r="J43" i="13" s="1"/>
  <c r="J51" i="13" s="1"/>
  <c r="J59" i="13" s="1"/>
  <c r="J62" i="13" s="1"/>
  <c r="G18" i="13"/>
  <c r="H43" i="13" s="1"/>
  <c r="H49" i="13" s="1"/>
  <c r="H51" i="13" s="1"/>
  <c r="H59" i="13" s="1"/>
  <c r="H62" i="13" s="1"/>
  <c r="K18" i="13"/>
  <c r="H8" i="4"/>
  <c r="J6" i="4"/>
  <c r="I8" i="4"/>
  <c r="I43" i="13"/>
  <c r="I49" i="13" s="1"/>
  <c r="I51" i="13" s="1"/>
  <c r="I59" i="13" s="1"/>
  <c r="I62" i="13" s="1"/>
  <c r="C36" i="1"/>
  <c r="L81" i="23" l="1"/>
  <c r="K43" i="13"/>
  <c r="K49" i="13" s="1"/>
  <c r="K59" i="13" s="1"/>
  <c r="K62" i="13" s="1"/>
  <c r="J14" i="8"/>
  <c r="J16" i="1"/>
  <c r="D36" i="1"/>
  <c r="E36" i="1" s="1"/>
  <c r="K65" i="13"/>
  <c r="K64" i="13"/>
  <c r="K6" i="4"/>
  <c r="K8" i="4" s="1"/>
  <c r="J8" i="4"/>
  <c r="K54" i="13"/>
  <c r="K53" i="13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L87" i="23" l="1"/>
  <c r="L88" i="23" s="1"/>
  <c r="M85" i="23" s="1"/>
  <c r="M86" i="23" s="1"/>
  <c r="L82" i="23"/>
  <c r="M7" i="5"/>
  <c r="K9" i="4"/>
  <c r="G9" i="4" s="1"/>
  <c r="G10" i="4" s="1"/>
  <c r="I15" i="1"/>
  <c r="G20" i="1"/>
  <c r="E26" i="1" s="1"/>
  <c r="G19" i="1"/>
  <c r="I17" i="1"/>
  <c r="I16" i="1"/>
  <c r="I14" i="1"/>
  <c r="H17" i="1"/>
  <c r="K17" i="1" s="1"/>
  <c r="H16" i="1"/>
  <c r="K16" i="1" s="1"/>
  <c r="H15" i="1"/>
  <c r="K15" i="1" s="1"/>
  <c r="H14" i="1"/>
  <c r="L93" i="23" l="1"/>
  <c r="M79" i="23"/>
  <c r="M80" i="23" s="1"/>
  <c r="L94" i="23"/>
  <c r="K10" i="4"/>
  <c r="H9" i="4"/>
  <c r="H10" i="4" s="1"/>
  <c r="J14" i="1"/>
  <c r="J14" i="5"/>
  <c r="E27" i="1"/>
  <c r="J41" i="1" s="1"/>
  <c r="K35" i="1"/>
  <c r="D35" i="1"/>
  <c r="H20" i="1"/>
  <c r="I20" i="1"/>
  <c r="I19" i="1"/>
  <c r="H19" i="1"/>
  <c r="M92" i="23" l="1"/>
  <c r="M91" i="23"/>
  <c r="I9" i="4"/>
  <c r="J9" i="4"/>
  <c r="J10" i="4" s="1"/>
  <c r="I10" i="4"/>
  <c r="J19" i="1"/>
  <c r="J20" i="1"/>
  <c r="K14" i="1"/>
  <c r="K19" i="1" s="1"/>
  <c r="K41" i="1"/>
  <c r="M45" i="23" l="1"/>
  <c r="M47" i="23" s="1"/>
  <c r="M50" i="23" s="1"/>
  <c r="K20" i="1"/>
  <c r="K33" i="1" s="1"/>
  <c r="E35" i="1"/>
  <c r="E38" i="1" s="1"/>
  <c r="K34" i="1" s="1"/>
  <c r="M48" i="23" l="1"/>
  <c r="M53" i="23"/>
  <c r="M54" i="23"/>
  <c r="M68" i="23"/>
  <c r="M72" i="23" s="1"/>
  <c r="K36" i="1"/>
  <c r="K42" i="1"/>
  <c r="M81" i="23" l="1"/>
  <c r="K27" i="1"/>
  <c r="K28" i="1" s="1"/>
  <c r="J42" i="1" s="1"/>
  <c r="K43" i="1" s="1"/>
  <c r="D18" i="4" s="1"/>
  <c r="M82" i="23" l="1"/>
  <c r="M87" i="23"/>
  <c r="M88" i="23" s="1"/>
  <c r="N85" i="23" s="1"/>
  <c r="N86" i="23" s="1"/>
  <c r="G12" i="4"/>
  <c r="G14" i="4" s="1"/>
  <c r="H12" i="4"/>
  <c r="H14" i="4" s="1"/>
  <c r="K12" i="4"/>
  <c r="K14" i="4" s="1"/>
  <c r="I12" i="4"/>
  <c r="I14" i="4" s="1"/>
  <c r="D23" i="4"/>
  <c r="J12" i="4"/>
  <c r="J14" i="4" s="1"/>
  <c r="N79" i="23" l="1"/>
  <c r="N80" i="23" s="1"/>
  <c r="M94" i="23"/>
  <c r="M93" i="23"/>
  <c r="D31" i="4"/>
  <c r="N92" i="23" l="1"/>
  <c r="N91" i="23"/>
  <c r="D33" i="4"/>
  <c r="F22" i="4" s="1"/>
  <c r="N45" i="23" l="1"/>
  <c r="N47" i="23" s="1"/>
  <c r="N50" i="23" s="1"/>
  <c r="D37" i="4"/>
  <c r="D40" i="4" s="1"/>
  <c r="D43" i="4" s="1"/>
  <c r="N48" i="23" l="1"/>
  <c r="N53" i="23"/>
  <c r="N68" i="23" s="1"/>
  <c r="N72" i="23" s="1"/>
  <c r="L22" i="4"/>
  <c r="N54" i="23" l="1"/>
  <c r="N81" i="23"/>
  <c r="N87" i="23" s="1"/>
  <c r="N88" i="23" s="1"/>
  <c r="O85" i="23" s="1"/>
  <c r="O86" i="23" s="1"/>
  <c r="N93" i="23" l="1"/>
  <c r="N82" i="23"/>
  <c r="N94" i="23" l="1"/>
  <c r="O79" i="23"/>
  <c r="O80" i="23" s="1"/>
  <c r="O92" i="23" l="1"/>
  <c r="O91" i="23"/>
  <c r="O45" i="23" l="1"/>
  <c r="O47" i="23" s="1"/>
  <c r="O48" i="23" l="1"/>
  <c r="O50" i="23"/>
  <c r="O53" i="23" s="1"/>
  <c r="O54" i="23" s="1"/>
  <c r="O68" i="23" l="1"/>
  <c r="O72" i="23" s="1"/>
  <c r="O81" i="23"/>
  <c r="O82" i="23" l="1"/>
  <c r="O87" i="23"/>
  <c r="O88" i="23" s="1"/>
  <c r="O94" i="23" l="1"/>
  <c r="O101" i="23" s="1"/>
  <c r="O102" i="23" s="1"/>
  <c r="O106" i="23" s="1"/>
  <c r="O107" i="23" s="1"/>
  <c r="O11" i="23" s="1"/>
  <c r="O93" i="23"/>
</calcChain>
</file>

<file path=xl/sharedStrings.xml><?xml version="1.0" encoding="utf-8"?>
<sst xmlns="http://schemas.openxmlformats.org/spreadsheetml/2006/main" count="1170" uniqueCount="606">
  <si>
    <t>Weighted Average Cost of Capital</t>
  </si>
  <si>
    <t>India</t>
  </si>
  <si>
    <t>Peer Comps</t>
  </si>
  <si>
    <t>Name of the Comp</t>
  </si>
  <si>
    <t>Country</t>
  </si>
  <si>
    <t>Total Debt</t>
  </si>
  <si>
    <t>Total Equity</t>
  </si>
  <si>
    <t>Tax Rate</t>
  </si>
  <si>
    <r>
      <t xml:space="preserve">Tax Rate </t>
    </r>
    <r>
      <rPr>
        <vertAlign val="superscript"/>
        <sz val="10.9"/>
        <color theme="1"/>
        <rFont val="Calibri"/>
        <family val="2"/>
      </rPr>
      <t>1</t>
    </r>
  </si>
  <si>
    <t>Debt/</t>
  </si>
  <si>
    <t>Equity</t>
  </si>
  <si>
    <t>Capital</t>
  </si>
  <si>
    <t>Beta 2</t>
  </si>
  <si>
    <r>
      <t xml:space="preserve">Beta </t>
    </r>
    <r>
      <rPr>
        <vertAlign val="superscript"/>
        <sz val="10.9"/>
        <color theme="1"/>
        <rFont val="Calibri"/>
        <family val="2"/>
      </rPr>
      <t>2</t>
    </r>
  </si>
  <si>
    <r>
      <t xml:space="preserve">Beta </t>
    </r>
    <r>
      <rPr>
        <vertAlign val="superscript"/>
        <sz val="10.9"/>
        <color theme="1"/>
        <rFont val="Calibri"/>
        <family val="2"/>
      </rPr>
      <t>3</t>
    </r>
  </si>
  <si>
    <t xml:space="preserve">Average </t>
  </si>
  <si>
    <t>Median</t>
  </si>
  <si>
    <t>Cost of Debt</t>
  </si>
  <si>
    <t>Pre-Tax Cost of Debt</t>
  </si>
  <si>
    <t>Tax rate</t>
  </si>
  <si>
    <t>Post-Tax Cost of Debt</t>
  </si>
  <si>
    <t>Cost of Equity</t>
  </si>
  <si>
    <t>Risk Free Rate</t>
  </si>
  <si>
    <t>Equity Risk Premium</t>
  </si>
  <si>
    <t>Capital Structure</t>
  </si>
  <si>
    <t xml:space="preserve">Current </t>
  </si>
  <si>
    <t>Target</t>
  </si>
  <si>
    <t>Market Capitalization</t>
  </si>
  <si>
    <t>Total Capital</t>
  </si>
  <si>
    <t>Levered Beta</t>
  </si>
  <si>
    <t>Comps Median Unlevered Data</t>
  </si>
  <si>
    <t>Target Debt/Equity</t>
  </si>
  <si>
    <t>Debt/Equity</t>
  </si>
  <si>
    <t>Debt</t>
  </si>
  <si>
    <t>Total Cost</t>
  </si>
  <si>
    <t>Total Weight</t>
  </si>
  <si>
    <t>Notes:</t>
  </si>
  <si>
    <t>1. Tax Rate considered as marginal rate of country</t>
  </si>
  <si>
    <t>2. Levered Beta is based on monthly data</t>
  </si>
  <si>
    <t>3. Unlevered Beta = Levered Beta/(1+(1-Tax rate)*Debt/Equity)</t>
  </si>
  <si>
    <t>4. Levered Beta = UnLevered Beta*(1+(1-Tax rate)*Debt/Equity)</t>
  </si>
  <si>
    <t>Regression Beta - 2 Years Weekly</t>
  </si>
  <si>
    <t>NIFTY Returns</t>
  </si>
  <si>
    <t>Beta Drifting</t>
  </si>
  <si>
    <t>Date</t>
  </si>
  <si>
    <t>Closing Price</t>
  </si>
  <si>
    <t>Return</t>
  </si>
  <si>
    <t>Levered Raw Beta</t>
  </si>
  <si>
    <t>Raw Beta Weight</t>
  </si>
  <si>
    <t>Market Beta</t>
  </si>
  <si>
    <t>SUMMARY OUTPUT</t>
  </si>
  <si>
    <t>Market Beta Weight</t>
  </si>
  <si>
    <t>Regression Statistics</t>
  </si>
  <si>
    <t>Adjusted Beta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</si>
  <si>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</si>
  <si>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</si>
  <si>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</si>
  <si>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</si>
  <si>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</si>
  <si>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</si>
  <si>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</si>
  <si>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</si>
  <si>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</si>
  <si>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</si>
  <si>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</si>
  <si>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</si>
  <si>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</si>
  <si>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</si>
  <si>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</si>
  <si>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</si>
  <si>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</si>
  <si>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</si>
  <si>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</si>
  <si>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</si>
  <si>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</si>
  <si>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</si>
  <si>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</si>
  <si>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07/28/2024</t>
  </si>
  <si>
    <t>08/18/2024</t>
  </si>
  <si>
    <t>08/25/2024</t>
  </si>
  <si>
    <t>09/15/2024</t>
  </si>
  <si>
    <t>09/22/2024</t>
  </si>
  <si>
    <t>09/29/2024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</si>
  <si>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</si>
  <si>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</si>
  <si>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</si>
  <si>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</si>
  <si>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</si>
  <si>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</si>
  <si>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</si>
  <si>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12/29/2024</t>
  </si>
  <si>
    <t>01/19/2025</t>
  </si>
  <si>
    <t>01/26/2025</t>
  </si>
  <si>
    <t>02/16/2025</t>
  </si>
  <si>
    <t>02/23/2025</t>
  </si>
  <si>
    <t>03/16/2025</t>
  </si>
  <si>
    <t>03/23/2025</t>
  </si>
  <si>
    <t>03/30/2025</t>
  </si>
  <si>
    <t>04/13/2025</t>
  </si>
  <si>
    <t>04/20/2025</t>
  </si>
  <si>
    <t>04/27/2025</t>
  </si>
  <si>
    <t>05/18/2025</t>
  </si>
  <si>
    <t>05/25/2025</t>
  </si>
  <si>
    <t>06/15/2025</t>
  </si>
  <si>
    <t>06/22/2025</t>
  </si>
  <si>
    <t>06/29/2025</t>
  </si>
  <si>
    <t>07/13/2025</t>
  </si>
  <si>
    <t>07/20/2025</t>
  </si>
  <si>
    <t>07/27/2025</t>
  </si>
  <si>
    <t>08/17/2025</t>
  </si>
  <si>
    <t>08/24/2025</t>
  </si>
  <si>
    <t>08/31/2025</t>
  </si>
  <si>
    <t>09/14/2025</t>
  </si>
  <si>
    <t>09/21/2025</t>
  </si>
  <si>
    <t>09/28/2025</t>
  </si>
  <si>
    <t>10/19/2025</t>
  </si>
  <si>
    <t>10/26/2025</t>
  </si>
  <si>
    <t>11/16/2025</t>
  </si>
  <si>
    <t>11/23/2025</t>
  </si>
  <si>
    <t>11/30/2025</t>
  </si>
  <si>
    <t>12/14/2025</t>
  </si>
  <si>
    <t>12/21/2025</t>
  </si>
  <si>
    <t>12/28/2025</t>
  </si>
  <si>
    <t>01/18/2026</t>
  </si>
  <si>
    <t>01/25/2026</t>
  </si>
  <si>
    <t>02/15/2026</t>
  </si>
  <si>
    <t>02/22/2026</t>
  </si>
  <si>
    <t>03/15/2026</t>
  </si>
  <si>
    <t>03/22/2026</t>
  </si>
  <si>
    <t>03/29/2026</t>
  </si>
  <si>
    <t>04/19/2026</t>
  </si>
  <si>
    <t>04/26/2026</t>
  </si>
  <si>
    <t>05/17/2026</t>
  </si>
  <si>
    <t>05/24/2026</t>
  </si>
  <si>
    <t>05/31/2026</t>
  </si>
  <si>
    <t>06/14/2026</t>
  </si>
  <si>
    <t>06/21/2026</t>
  </si>
  <si>
    <t>06/28/2026</t>
  </si>
  <si>
    <t>07/19/2026</t>
  </si>
  <si>
    <t>Levered</t>
  </si>
  <si>
    <t>Unlevered</t>
  </si>
  <si>
    <t>S.No.</t>
  </si>
  <si>
    <t>Name</t>
  </si>
  <si>
    <t>Debt / Eq</t>
  </si>
  <si>
    <t>CMP Rs.</t>
  </si>
  <si>
    <t xml:space="preserve">Mar Cap Rs.Cr. </t>
  </si>
  <si>
    <t>Debt Rs.Cr.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</si>
  <si>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</si>
  <si>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</si>
  <si>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</si>
  <si>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</si>
  <si>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</si>
  <si>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</si>
  <si>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</si>
  <si>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</si>
  <si>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</si>
  <si>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</si>
  <si>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</si>
  <si>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</si>
  <si>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</si>
  <si>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</si>
  <si>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</si>
  <si>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</si>
  <si>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</si>
  <si>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</si>
  <si>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</si>
  <si>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</si>
  <si>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</si>
  <si>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</si>
  <si>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</si>
  <si>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</si>
  <si>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</si>
  <si>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</si>
  <si>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</si>
  <si>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</si>
  <si>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</si>
  <si>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</si>
  <si>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</si>
  <si>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</si>
  <si>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</si>
  <si>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</si>
  <si>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</si>
  <si>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</si>
  <si>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</si>
  <si>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</si>
  <si>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</si>
  <si>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</si>
  <si>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</si>
  <si>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</si>
  <si>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</si>
  <si>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</si>
  <si>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</si>
  <si>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r>
      <t xml:space="preserve">Levered Beta </t>
    </r>
    <r>
      <rPr>
        <vertAlign val="superscript"/>
        <sz val="10.9"/>
        <color theme="1"/>
        <rFont val="Calibri"/>
        <family val="2"/>
      </rPr>
      <t xml:space="preserve">4 </t>
    </r>
  </si>
  <si>
    <t>Year</t>
  </si>
  <si>
    <t>Return on Markets</t>
  </si>
  <si>
    <t>Average Return</t>
  </si>
  <si>
    <t>Dividend Yield</t>
  </si>
  <si>
    <t>Total Market Return</t>
  </si>
  <si>
    <t>Equity Capital</t>
  </si>
  <si>
    <t>Reserves</t>
  </si>
  <si>
    <t>Borrowings -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</si>
  <si>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</si>
  <si>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</si>
  <si>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</si>
  <si>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</si>
  <si>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</si>
  <si>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</si>
  <si>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</si>
  <si>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</si>
  <si>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</si>
  <si>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</si>
  <si>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</si>
  <si>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</si>
  <si>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</si>
  <si>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</si>
  <si>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</si>
  <si>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</si>
  <si>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</si>
  <si>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</si>
  <si>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</si>
  <si>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</si>
  <si>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</si>
  <si>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Other Assets -</t>
  </si>
  <si>
    <t>Trade receivables</t>
  </si>
  <si>
    <t>Cash Equivalents</t>
  </si>
  <si>
    <t>Loans n Advances</t>
  </si>
  <si>
    <t>Other asset items</t>
  </si>
  <si>
    <t>Total Assets</t>
  </si>
  <si>
    <t>Particlualars</t>
  </si>
  <si>
    <t>Net Block</t>
  </si>
  <si>
    <t>Calculation of ROIC</t>
  </si>
  <si>
    <t>Current Assets</t>
  </si>
  <si>
    <t>Trade Receivables</t>
  </si>
  <si>
    <t>Loans and Advances</t>
  </si>
  <si>
    <t>Other Assets</t>
  </si>
  <si>
    <t>Total Current Assets</t>
  </si>
  <si>
    <t>Current Liabilities</t>
  </si>
  <si>
    <t>Non controlling Interest</t>
  </si>
  <si>
    <t>Other Liability Items</t>
  </si>
  <si>
    <t>Net Working Capital</t>
  </si>
  <si>
    <t>#</t>
  </si>
  <si>
    <t>Non Current Assets</t>
  </si>
  <si>
    <t>Net Non-Current Assets</t>
  </si>
  <si>
    <t>Invested Capital</t>
  </si>
  <si>
    <t>Operating Profit</t>
  </si>
  <si>
    <t>OPM %</t>
  </si>
  <si>
    <t>Interest</t>
  </si>
  <si>
    <t>Depreciation</t>
  </si>
  <si>
    <t>Profit before tax</t>
  </si>
  <si>
    <t>Other Income +</t>
  </si>
  <si>
    <t>EBIT</t>
  </si>
  <si>
    <t>Calculation Of EBIT</t>
  </si>
  <si>
    <t>ROIC</t>
  </si>
  <si>
    <t>Calculation of Reinvestment Rate</t>
  </si>
  <si>
    <t>Net Capex</t>
  </si>
  <si>
    <t>Cash from Operating Activity -</t>
  </si>
  <si>
    <t>Profit from operations</t>
  </si>
  <si>
    <t>Receivables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</si>
  <si>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</si>
  <si>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</si>
  <si>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</si>
  <si>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</si>
  <si>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</si>
  <si>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</si>
  <si>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</si>
  <si>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</si>
  <si>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</si>
  <si>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</si>
  <si>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</si>
  <si>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</si>
  <si>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</si>
  <si>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</si>
  <si>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</si>
  <si>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</si>
  <si>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Repayment of borrowings</t>
  </si>
  <si>
    <t>Dividends paid</t>
  </si>
  <si>
    <t>Financial liabilities</t>
  </si>
  <si>
    <t>Other financing items</t>
  </si>
  <si>
    <t>Net Cash Flow</t>
  </si>
  <si>
    <t>Free Cash Flow</t>
  </si>
  <si>
    <t>CASH FLOW STATEMENT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</si>
  <si>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</si>
  <si>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</si>
  <si>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</si>
  <si>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</si>
  <si>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</si>
  <si>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</si>
  <si>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</si>
  <si>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</si>
  <si>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</si>
  <si>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</si>
  <si>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EBIT(1-Tax)</t>
  </si>
  <si>
    <t>less: Reinvestment Rate</t>
  </si>
  <si>
    <t>Free Cash Flow to Firm(FCFF)</t>
  </si>
  <si>
    <t>Mid Year Convention</t>
  </si>
  <si>
    <t>Discounting Factor</t>
  </si>
  <si>
    <t>PV of FCFF</t>
  </si>
  <si>
    <t>Expected growth</t>
  </si>
  <si>
    <t xml:space="preserve">Terminal Growth </t>
  </si>
  <si>
    <t>WACC</t>
  </si>
  <si>
    <t>Calculation of Terminal Value</t>
  </si>
  <si>
    <t>FCFF(n+1)</t>
  </si>
  <si>
    <t>Terminal Growth Rate</t>
  </si>
  <si>
    <t>Terminal Value</t>
  </si>
  <si>
    <t>PV of Terminal Value</t>
  </si>
  <si>
    <t>Value of Operating Assets</t>
  </si>
  <si>
    <t>Add: Cash</t>
  </si>
  <si>
    <t>Less: Debt</t>
  </si>
  <si>
    <t>Calculation of Share Equity Value per share</t>
  </si>
  <si>
    <t>Value of Equity</t>
  </si>
  <si>
    <t>No. of Shares</t>
  </si>
  <si>
    <t>Equity Value per share</t>
  </si>
  <si>
    <t>Share Price</t>
  </si>
  <si>
    <t>Discount/Premium</t>
  </si>
  <si>
    <t>Comps</t>
  </si>
  <si>
    <t>DCF Bear</t>
  </si>
  <si>
    <t>DCF Bull</t>
  </si>
  <si>
    <t>Open Low</t>
  </si>
  <si>
    <t>Low</t>
  </si>
  <si>
    <t xml:space="preserve">Open High </t>
  </si>
  <si>
    <t>High</t>
  </si>
  <si>
    <t>`</t>
  </si>
  <si>
    <t>Sensitivity Aanalysis per share</t>
  </si>
  <si>
    <t>Sensitivity Aanalysis Operatig Assets</t>
  </si>
  <si>
    <t>Football Field Analysis - Data</t>
  </si>
  <si>
    <t>Calculation Of WACC</t>
  </si>
  <si>
    <t>Total Current Liabilities</t>
  </si>
  <si>
    <t>CFO/Total Debt</t>
  </si>
  <si>
    <t>CFO/Total Assets</t>
  </si>
  <si>
    <t>CFO/Sales</t>
  </si>
  <si>
    <t>Cash Conversion Cycle (in days)</t>
  </si>
  <si>
    <t>Inventory Days</t>
  </si>
  <si>
    <t>Payable Days</t>
  </si>
  <si>
    <t>Debtor Days</t>
  </si>
  <si>
    <t>Capital Turnover Ratio</t>
  </si>
  <si>
    <t>Fixed Asset Turnover</t>
  </si>
  <si>
    <t>Inventory Turnover</t>
  </si>
  <si>
    <t>Creditor Turnover Ratio</t>
  </si>
  <si>
    <t>Debtor Turnover Ratio</t>
  </si>
  <si>
    <t>Interest Coverage Ratio</t>
  </si>
  <si>
    <t>Self Sustained Growth Rate</t>
  </si>
  <si>
    <t>Return on Equity%</t>
  </si>
  <si>
    <t>Retained Earnings%</t>
  </si>
  <si>
    <t>Return on Capital Employed</t>
  </si>
  <si>
    <t>OperatingIncome%Sales</t>
  </si>
  <si>
    <t>Depreciation%Sales</t>
  </si>
  <si>
    <t>SalesExpenses%Sales</t>
  </si>
  <si>
    <t>Net Profit Margin</t>
  </si>
  <si>
    <t>EBT Margin</t>
  </si>
  <si>
    <t>EBIT Margin</t>
  </si>
  <si>
    <t>EBITDA Margin</t>
  </si>
  <si>
    <t>Gross Margin</t>
  </si>
  <si>
    <t>Dividend Growth</t>
  </si>
  <si>
    <t>Net Profit Growth</t>
  </si>
  <si>
    <t>EBIT Growth</t>
  </si>
  <si>
    <t>EBITDA Growth</t>
  </si>
  <si>
    <t>SalesGrowth</t>
  </si>
  <si>
    <t>Mean</t>
  </si>
  <si>
    <t>Trend</t>
  </si>
  <si>
    <t>Years</t>
  </si>
  <si>
    <t>Cash Flow from Financing Activities</t>
  </si>
  <si>
    <t>Proceeds from borrowings</t>
  </si>
  <si>
    <t>Financing Activities</t>
  </si>
  <si>
    <t>Cash Flow from Investing Activities</t>
  </si>
  <si>
    <t>Investing Activities</t>
  </si>
  <si>
    <t>Cash From Operating Activities</t>
  </si>
  <si>
    <t>Profit from Operations</t>
  </si>
  <si>
    <t>Operating Activities</t>
  </si>
  <si>
    <t>Cash Flow Statement</t>
  </si>
  <si>
    <t>Check</t>
  </si>
  <si>
    <t>Cash &amp; Bank</t>
  </si>
  <si>
    <t>Inventory</t>
  </si>
  <si>
    <t>Total Non-Current Assets</t>
  </si>
  <si>
    <t>Capital Work in Progress</t>
  </si>
  <si>
    <t>Fixed Assets Net Block</t>
  </si>
  <si>
    <t>Other Liabilities</t>
  </si>
  <si>
    <t>Borrowings</t>
  </si>
  <si>
    <t>Equity Share Capital</t>
  </si>
  <si>
    <t>Balance Sheet</t>
  </si>
  <si>
    <t>Retained Earnings</t>
  </si>
  <si>
    <t>D/D Payout Ratio</t>
  </si>
  <si>
    <t>Dividend per share</t>
  </si>
  <si>
    <t>EPS growth</t>
  </si>
  <si>
    <t>EPS</t>
  </si>
  <si>
    <t>No. of Equity Shares</t>
  </si>
  <si>
    <t>Net Margin</t>
  </si>
  <si>
    <t>Net profit</t>
  </si>
  <si>
    <t>Effective tax rate</t>
  </si>
  <si>
    <t>Tax</t>
  </si>
  <si>
    <t>EBT % of sales</t>
  </si>
  <si>
    <t>Earnings before Tax</t>
  </si>
  <si>
    <t>Dep % of sales</t>
  </si>
  <si>
    <t>Interest % of sales</t>
  </si>
  <si>
    <t>EBITDA % OF SALES</t>
  </si>
  <si>
    <t>EBITDA</t>
  </si>
  <si>
    <t>S&amp;G Exp % of sales</t>
  </si>
  <si>
    <t>Selling &amp; General Expenses</t>
  </si>
  <si>
    <t>GP % of sales</t>
  </si>
  <si>
    <t>Gross Profit</t>
  </si>
  <si>
    <t>COGS % of sales</t>
  </si>
  <si>
    <t>COGS</t>
  </si>
  <si>
    <t>-</t>
  </si>
  <si>
    <t>Sales Growth</t>
  </si>
  <si>
    <t>Sales</t>
  </si>
  <si>
    <t>Income Statement</t>
  </si>
  <si>
    <t>Year Weights</t>
  </si>
  <si>
    <t>EPS Growth</t>
  </si>
  <si>
    <t>Year Weight</t>
  </si>
  <si>
    <t>Adjusted Equity Shares in Cr</t>
  </si>
  <si>
    <t>DERIVED:</t>
  </si>
  <si>
    <t>PRICE: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</si>
  <si>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</si>
  <si>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</si>
  <si>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</si>
  <si>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</si>
  <si>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</si>
  <si>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</si>
  <si>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</si>
  <si>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BALANCE SHEET</t>
  </si>
  <si>
    <t>Other Income</t>
  </si>
  <si>
    <t>Expenses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</si>
  <si>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</si>
  <si>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</si>
  <si>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</si>
  <si>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</si>
  <si>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</si>
  <si>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</si>
  <si>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</si>
  <si>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</si>
  <si>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</si>
  <si>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</si>
  <si>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</si>
  <si>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</si>
  <si>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</si>
  <si>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</si>
  <si>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</si>
  <si>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</si>
  <si>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</si>
  <si>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INFOSYS LTD</t>
  </si>
  <si>
    <t>COMPANY NAME</t>
  </si>
  <si>
    <t>Source: The Valuation School and Screener.in</t>
  </si>
  <si>
    <t>Implied Value per share</t>
  </si>
  <si>
    <t>Shares Outstanding</t>
  </si>
  <si>
    <t>Implied Market Value</t>
  </si>
  <si>
    <t>Net Debt</t>
  </si>
  <si>
    <t>Implied Enterprise Value</t>
  </si>
  <si>
    <t>PE</t>
  </si>
  <si>
    <t>EV/EBITDA</t>
  </si>
  <si>
    <t>EV/Revenue</t>
  </si>
  <si>
    <t>25th Percentile</t>
  </si>
  <si>
    <t>Average</t>
  </si>
  <si>
    <t>75th Percentile</t>
  </si>
  <si>
    <t>Net income</t>
  </si>
  <si>
    <t>Revenue</t>
  </si>
  <si>
    <t>Enterprise Value</t>
  </si>
  <si>
    <t>Equity Value</t>
  </si>
  <si>
    <t>Share Outsdanding</t>
  </si>
  <si>
    <t>Ticker</t>
  </si>
  <si>
    <t>Company</t>
  </si>
  <si>
    <t>Valuation</t>
  </si>
  <si>
    <t>Financials</t>
  </si>
  <si>
    <t>Market Data</t>
  </si>
  <si>
    <t>Comparable Company Valuation</t>
  </si>
  <si>
    <t>Amount in crores</t>
  </si>
  <si>
    <t>Dep 12M Rs.Cr.</t>
  </si>
  <si>
    <t>NP 12M Rs.Cr.</t>
  </si>
  <si>
    <t>Sales Rs.Cr.</t>
  </si>
  <si>
    <t>EV</t>
  </si>
  <si>
    <t>Cash End Rs.Cr.</t>
  </si>
  <si>
    <t>Market Cap</t>
  </si>
  <si>
    <t>No. Eq. Shares (Cr.)</t>
  </si>
  <si>
    <t>DATA TABLE</t>
  </si>
  <si>
    <t>Particulars</t>
  </si>
  <si>
    <t>All Figures are in INR(Crores) unless stated otherwise</t>
  </si>
  <si>
    <t xml:space="preserve">Equity and Liabilities - </t>
  </si>
  <si>
    <t>Infosys</t>
  </si>
  <si>
    <t>TCS</t>
  </si>
  <si>
    <t>HCL Technologies</t>
  </si>
  <si>
    <t>Wipro</t>
  </si>
  <si>
    <t>Tech Mahindra</t>
  </si>
  <si>
    <t>Infosys Weekly Returns</t>
  </si>
  <si>
    <t>HCL Technologies Weekly Returns</t>
  </si>
  <si>
    <t>TCS Weekly Returns</t>
  </si>
  <si>
    <t>WIPRO Returns</t>
  </si>
  <si>
    <t>07/26/2026</t>
  </si>
  <si>
    <r>
      <t>Cash from Operating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</si>
  <si>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Investing Activity </t>
    </r>
    <r>
      <rPr>
        <b/>
        <sz val="11"/>
        <color rgb="FF665EFD"/>
        <rFont val="Calibri"/>
        <family val="2"/>
        <scheme val="minor"/>
      </rPr>
      <t>-</t>
    </r>
  </si>
  <si>
    <r>
      <t>Cash from Financing Activity </t>
    </r>
    <r>
      <rPr>
        <b/>
        <sz val="11"/>
        <color rgb="FF665EFD"/>
        <rFont val="Calibri"/>
        <family val="2"/>
        <scheme val="minor"/>
      </rPr>
      <t>-</t>
    </r>
  </si>
  <si>
    <t>ALL VALUES ARE IN CRORES</t>
  </si>
  <si>
    <t>LTM</t>
  </si>
  <si>
    <t>Persistent Systems</t>
  </si>
  <si>
    <t>Coforge</t>
  </si>
  <si>
    <t>Mphasis</t>
  </si>
  <si>
    <t>Hexaware Tech.</t>
  </si>
  <si>
    <t>Annual Return</t>
  </si>
  <si>
    <t>Infosys Comparable Company Valuation</t>
  </si>
  <si>
    <t>Source: Screener.in</t>
  </si>
  <si>
    <t>Source: Investing.com</t>
  </si>
  <si>
    <t>DCF Base</t>
  </si>
  <si>
    <t>52 Week H/L</t>
  </si>
  <si>
    <t>Beta</t>
  </si>
  <si>
    <t>In Crores(Cr.)</t>
  </si>
  <si>
    <t>IRR</t>
  </si>
  <si>
    <t>x</t>
  </si>
  <si>
    <t>MOIC</t>
  </si>
  <si>
    <t>Sponsor Equity at Entry</t>
  </si>
  <si>
    <t>Sponsor Equity Value</t>
  </si>
  <si>
    <t>Exit Multiple</t>
  </si>
  <si>
    <t>EBITDA at Exit</t>
  </si>
  <si>
    <t xml:space="preserve">   Ending Balance</t>
  </si>
  <si>
    <t xml:space="preserve">   Paydown</t>
  </si>
  <si>
    <t xml:space="preserve">   Interest</t>
  </si>
  <si>
    <t xml:space="preserve">   Beginning Balance</t>
  </si>
  <si>
    <t>Sr. Notes</t>
  </si>
  <si>
    <t>Bank Debt</t>
  </si>
  <si>
    <t>Year 5</t>
  </si>
  <si>
    <t>Year 4</t>
  </si>
  <si>
    <t>Year 3</t>
  </si>
  <si>
    <t>Year 2</t>
  </si>
  <si>
    <t>Year 1</t>
  </si>
  <si>
    <t>Year 0</t>
  </si>
  <si>
    <t>Debt Schedule</t>
  </si>
  <si>
    <t>Levered Cash Flow</t>
  </si>
  <si>
    <t>Change in NWC</t>
  </si>
  <si>
    <t>CapEx</t>
  </si>
  <si>
    <t>D&amp;A</t>
  </si>
  <si>
    <t>Net Income</t>
  </si>
  <si>
    <t xml:space="preserve">   % sales</t>
  </si>
  <si>
    <t>Change in Net Working Capital</t>
  </si>
  <si>
    <t>Cash flow Items</t>
  </si>
  <si>
    <t xml:space="preserve">   % tax rate</t>
  </si>
  <si>
    <t>Taxes</t>
  </si>
  <si>
    <t>EBT</t>
  </si>
  <si>
    <t xml:space="preserve">   % growth</t>
  </si>
  <si>
    <t>Operating Model</t>
  </si>
  <si>
    <t>Total Sources</t>
  </si>
  <si>
    <t>Sponsor Equity</t>
  </si>
  <si>
    <t>% Capital</t>
  </si>
  <si>
    <t>xEBITDA</t>
  </si>
  <si>
    <t>Amount</t>
  </si>
  <si>
    <t>Uses</t>
  </si>
  <si>
    <t>Sources</t>
  </si>
  <si>
    <t>Sources and Uses</t>
  </si>
  <si>
    <t>EBITDA Multiple</t>
  </si>
  <si>
    <t>Exit ($MM)</t>
  </si>
  <si>
    <t>Fees &amp; Expenses</t>
  </si>
  <si>
    <t>NWC</t>
  </si>
  <si>
    <t>Capex</t>
  </si>
  <si>
    <t>For Reference</t>
  </si>
  <si>
    <t>Existing Net Debt</t>
  </si>
  <si>
    <t>Senior Notes</t>
  </si>
  <si>
    <t>LTM Financials</t>
  </si>
  <si>
    <t>LTM EBITDA</t>
  </si>
  <si>
    <t>Cost</t>
  </si>
  <si>
    <t>Entry ($MM)</t>
  </si>
  <si>
    <t>Assumptions</t>
  </si>
  <si>
    <t>LBO</t>
  </si>
  <si>
    <t>Total Uses</t>
  </si>
  <si>
    <r>
      <t>Too large</t>
    </r>
    <r>
      <rPr>
        <sz val="11"/>
        <color theme="1"/>
        <rFont val="Calibri"/>
        <family val="2"/>
      </rPr>
      <t xml:space="preserve"> </t>
    </r>
  </si>
  <si>
    <r>
      <t>Net cash position</t>
    </r>
    <r>
      <rPr>
        <sz val="11"/>
        <color theme="1"/>
        <rFont val="Calibri"/>
        <family val="2"/>
      </rPr>
      <t xml:space="preserve"> : </t>
    </r>
  </si>
  <si>
    <t xml:space="preserve">LBOs work best on companies with stable, debt-serviceable </t>
  </si>
  <si>
    <t>Asset-light, low capex</t>
  </si>
  <si>
    <t xml:space="preserve">cash flows and some existing leverage capacity. Infosys has </t>
  </si>
  <si>
    <t>negative net debt, meaning you are paying a premium for cash you don't need</t>
  </si>
  <si>
    <t>that can be used as loan collateral. Banks are less comfortable lending against an</t>
  </si>
  <si>
    <t>High payout ratio</t>
  </si>
  <si>
    <t>Infosys pays out ~73% of earnings as dividends, meaning less retained cash to</t>
  </si>
  <si>
    <t>Debt burden post-close</t>
  </si>
  <si>
    <t xml:space="preserve">Good for cash generation but LBOs typically target companies with hard assets </t>
  </si>
  <si>
    <t>The model shows debt barely gets paid down over 5 years (total debt stays</t>
  </si>
  <si>
    <t>IT services business</t>
  </si>
  <si>
    <t>service new LBO debt</t>
  </si>
  <si>
    <t>253,968 Cr, because interest consumes a large portion of free cash flow at 6x leverage</t>
  </si>
  <si>
    <t>Infosys is not an ideal LBO candidate, for several reasons:</t>
  </si>
  <si>
    <t>What makes the returns look attractive (22.4% IRR)?</t>
  </si>
  <si>
    <r>
      <t xml:space="preserve">Purely driven by </t>
    </r>
    <r>
      <rPr>
        <b/>
        <sz val="11"/>
        <color theme="1"/>
        <rFont val="Calibri"/>
        <family val="2"/>
      </rPr>
      <t>EBITDA growth</t>
    </r>
    <r>
      <rPr>
        <sz val="11"/>
        <color theme="1"/>
        <rFont val="Calibri"/>
        <family val="2"/>
      </rPr>
      <t xml:space="preserve"> (7% revenue growth + margin expansion) and </t>
    </r>
    <r>
      <rPr>
        <b/>
        <sz val="11"/>
        <color theme="1"/>
        <rFont val="Calibri"/>
        <family val="2"/>
      </rPr>
      <t>multiple arbitrage</t>
    </r>
    <r>
      <rPr>
        <sz val="11"/>
        <color theme="1"/>
        <rFont val="Calibri"/>
        <family val="2"/>
      </rPr>
      <t xml:space="preserve"> staying flat at 10x</t>
    </r>
  </si>
  <si>
    <t>If exit multiple compresses to 8x (common in IT sector re-ratings), IRR drops significantly</t>
  </si>
  <si>
    <t>At 422,800 Cr ($50bn+), very few PE firms could finance this</t>
  </si>
  <si>
    <r>
      <t xml:space="preserve">The return is not really coming from </t>
    </r>
    <r>
      <rPr>
        <b/>
        <sz val="11"/>
        <color theme="1"/>
        <rFont val="Calibri"/>
        <family val="2"/>
      </rPr>
      <t>debt paydown</t>
    </r>
    <r>
      <rPr>
        <sz val="11"/>
        <color theme="1"/>
        <rFont val="Calibri"/>
        <family val="2"/>
      </rPr>
      <t xml:space="preserve"> (the traditional LBO value driver)  which is a weakness</t>
    </r>
  </si>
  <si>
    <t xml:space="preserve">Interest on Senior Notes (12%) is being capitalised (PIK'd) rather than paid in cash, the balance grows from ₹84,560 Cr  </t>
  </si>
  <si>
    <t xml:space="preserve">at entry to ₹149,023 Cr at exit. In a real transaction, senior notes would either be cash-pay or explicitly structured as </t>
  </si>
  <si>
    <t xml:space="preserve">PIK with lender consent. This is a modelling simplification; in practice, the additional interest burden would further reduce </t>
  </si>
  <si>
    <t>bank debt paydown capacity and compress IRR.</t>
  </si>
  <si>
    <t>Less: D&amp;A/Int/Tax</t>
  </si>
  <si>
    <t>Less: OpEx</t>
  </si>
  <si>
    <t>Less: COGS</t>
  </si>
  <si>
    <t>Revenue -&gt; Net Income Bridge (final year</t>
  </si>
  <si>
    <t>Segment 1</t>
  </si>
  <si>
    <t>Revenue Mix (helper</t>
  </si>
  <si>
    <t>Trend Charts</t>
  </si>
  <si>
    <t>Capital Expenditure</t>
  </si>
  <si>
    <t>Cash from Operations</t>
  </si>
  <si>
    <t>Net Margin %</t>
  </si>
  <si>
    <t>Total Revenue</t>
  </si>
  <si>
    <t>Metric</t>
  </si>
  <si>
    <t>Operating &amp; Cash Flow Summary</t>
  </si>
  <si>
    <t>Final year</t>
  </si>
  <si>
    <t>Net Δ Cash</t>
  </si>
  <si>
    <t>Cash from Ops</t>
  </si>
  <si>
    <t>Yr1-final</t>
  </si>
  <si>
    <t>Revenue CAGR</t>
  </si>
  <si>
    <t>Key Performance Indicators</t>
  </si>
  <si>
    <t>Headline operating, profitability and cash outputs at a glance</t>
  </si>
  <si>
    <t>Dashboard</t>
  </si>
  <si>
    <t>Waterfall Chart Data (helper)</t>
  </si>
  <si>
    <t>(Values in Crores)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</si>
</sst>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7" formatCode="&quot;₹&quot;\ #,##0.00;&quot;₹&quot;\ \-#,##0.00"/>
    <numFmt numFmtId="43" formatCode="_ * #,##0.00_ ;_ * \-#,##0.00_ ;_ * &quot;-&quot;??_ ;_ @_ "/>
    <numFmt numFmtId="164" formatCode="0.0"/>
    <numFmt numFmtId="165" formatCode="dd\/mm\/yyyy"/>
    <numFmt numFmtId="166" formatCode="#,##0.0;\(#,##0.0\);\-"/>
    <numFmt numFmtId="167" formatCode="#,##0.0"/>
    <numFmt numFmtId="168" formatCode="#,##0.0;\(#,##0\);\-"/>
    <numFmt numFmtId="169" formatCode="mmm/yy&quot;A&quot;"/>
    <numFmt numFmtId="170" formatCode="mmm/yy&quot;F&quot;"/>
    <numFmt numFmtId="171" formatCode="0.00\x"/>
    <numFmt numFmtId="172" formatCode="0\ &quot;days&quot;"/>
    <numFmt numFmtId="173" formatCode="0.00\ &quot;x&quot;"/>
    <numFmt numFmtId="174" formatCode="&quot;₹&quot;\ #,##0.0;\ \(&quot;₹&quot;\ #,##0.0\)"/>
    <numFmt numFmtId="175" formatCode="&quot;₹&quot;\ #,##0.0;\ \(#,##0\)"/>
    <numFmt numFmtId="176" formatCode="&quot;₹&quot;\ #,##0.0"/>
    <numFmt numFmtId="177" formatCode="yyyy"/>
    <numFmt numFmtId="178" formatCode="yyyy&quot;E&quot;"/>
    <numFmt numFmtId="179" formatCode="yyyy&quot;A&quot;"/>
    <numFmt numFmtId="180" formatCode="_(* #,##0.00_);_(* \(#,##0.00\);_(* &quot;-&quot;??_);_(@_)"/>
    <numFmt numFmtId="181" formatCode="[$-409]mmm\-yy;@"/>
    <numFmt numFmtId="182" formatCode="#,##0.00;\(#,##0.00\)"/>
    <numFmt numFmtId="183" formatCode="0.0\x"/>
    <numFmt numFmtId="184" formatCode="#,##0;\(#,##0.00\)"/>
    <numFmt numFmtId="185" formatCode="0.00%;\(0.00%\)"/>
    <numFmt numFmtId="186" formatCode="#,##0.00;\(#,##0.00\);\-"/>
    <numFmt numFmtId="187" formatCode="#,##0.0%_);\(#,##0.0%\)"/>
    <numFmt numFmtId="188" formatCode="#,##0.0\x;&quot;NM&quot;_x"/>
    <numFmt numFmtId="189" formatCode="#,##0_);\(#,##0\);\-_)"/>
    <numFmt numFmtId="190" formatCode="0.0\x_)"/>
    <numFmt numFmtId="191" formatCode="0.0%_)"/>
    <numFmt numFmtId="192" formatCode="0_);\(0\)"/>
    <numFmt numFmtId="193" formatCode="#,##0_);\(#,##0\)"/>
    <numFmt numFmtId="194" formatCode="0.00%;\(0.0%\)"/>
    <numFmt numFmtId="195" formatCode="#,##0;\(#,##0\);\-"/>
    <numFmt numFmtId="196" formatCode="0.0%;\(0.0%\);\-"/>
    <numFmt numFmtId="197" formatCode="&quot;₹&quot;\ #,##0.0;\ \(&quot;₹&quot;\ #,##0\)"/>
  </numFmts>
  <fonts count="67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Calibri"/>
      <family val="2"/>
    </font>
    <font>
      <vertAlign val="superscript"/>
      <sz val="10.9"/>
      <color theme="1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2060"/>
      <name val="Calibri"/>
      <family val="2"/>
    </font>
    <font>
      <b/>
      <i/>
      <u/>
      <sz val="24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F"/>
      <name val="Arial"/>
      <family val="2"/>
    </font>
    <font>
      <sz val="11"/>
      <color rgb="FF22222F"/>
      <name val="Arial"/>
      <family val="2"/>
    </font>
    <font>
      <i/>
      <sz val="11"/>
      <color theme="0" tint="-0.499984740745262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sz val="11"/>
      <color rgb="FF002060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0"/>
      <name val="Calibri"/>
      <family val="2"/>
    </font>
    <font>
      <sz val="11"/>
      <color rgb="FF22222F"/>
      <name val="Calibri"/>
      <family val="2"/>
      <scheme val="minor"/>
    </font>
    <font>
      <b/>
      <sz val="11"/>
      <color rgb="FF22222F"/>
      <name val="Calibri"/>
      <family val="2"/>
      <scheme val="minor"/>
    </font>
    <font>
      <sz val="11"/>
      <color rgb="FF606F7B"/>
      <name val="Calibri"/>
      <family val="2"/>
      <scheme val="minor"/>
    </font>
    <font>
      <b/>
      <sz val="11"/>
      <color rgb="FF665EFD"/>
      <name val="Calibri"/>
      <family val="2"/>
      <scheme val="minor"/>
    </font>
    <font>
      <i/>
      <sz val="9"/>
      <color theme="0" tint="-0.499984740745262"/>
      <name val="Calibri"/>
      <family val="2"/>
    </font>
    <font>
      <b/>
      <u/>
      <sz val="11"/>
      <color theme="0"/>
      <name val="Calibri"/>
      <family val="2"/>
      <scheme val="minor"/>
    </font>
    <font>
      <b/>
      <i/>
      <u/>
      <sz val="16"/>
      <color theme="0"/>
      <name val="Calibri"/>
      <family val="2"/>
    </font>
    <font>
      <b/>
      <i/>
      <u/>
      <sz val="11"/>
      <color theme="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008000"/>
      <name val="Calibri"/>
      <family val="2"/>
    </font>
    <font>
      <i/>
      <sz val="11"/>
      <color rgb="FF7030A0"/>
      <name val="Calibri"/>
      <family val="2"/>
      <charset val="1"/>
    </font>
    <font>
      <i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name val="Arial"/>
      <charset val="1"/>
    </font>
    <font>
      <b/>
      <sz val="18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8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color theme="0" tint="-0.3499862666707357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F8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0" tint="-4.9989318521683403E-2"/>
        <bgColor rgb="FFF8F8FC"/>
      </patternFill>
    </fill>
    <fill>
      <patternFill patternType="solid">
        <fgColor rgb="FF002060"/>
        <bgColor rgb="FF606F7B"/>
      </patternFill>
    </fill>
    <fill>
      <patternFill patternType="solid">
        <fgColor theme="4" tint="-0.499984740745262"/>
        <bgColor rgb="FF595959"/>
      </patternFill>
    </fill>
    <fill>
      <patternFill patternType="solid">
        <fgColor theme="4" tint="-0.249977111117893"/>
        <bgColor rgb="FF606F7B"/>
      </patternFill>
    </fill>
    <fill>
      <patternFill patternType="solid">
        <fgColor rgb="FF002060"/>
        <bgColor rgb="FF595959"/>
      </patternFill>
    </fill>
    <fill>
      <patternFill patternType="solid">
        <fgColor theme="0"/>
        <bgColor rgb="FFF8F8FC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3"/>
        <bgColor rgb="FF1F4E79"/>
      </patternFill>
    </fill>
    <fill>
      <patternFill patternType="solid">
        <fgColor rgb="FFDDEBF7"/>
        <bgColor rgb="FFEBF1FA"/>
      </patternFill>
    </fill>
    <fill>
      <patternFill patternType="solid">
        <fgColor theme="0"/>
        <bgColor rgb="FF1F4E79"/>
      </patternFill>
    </fill>
    <fill>
      <patternFill patternType="solid">
        <fgColor rgb="FF002060"/>
        <bgColor rgb="FF1F4E79"/>
      </patternFill>
    </fill>
  </fills>
  <borders count="4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medium">
        <color rgb="FF1E4E7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rgb="FF002060"/>
      </top>
      <bottom style="medium">
        <color rgb="FF002060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rgb="FFDBE4F0"/>
      </top>
      <bottom/>
      <diagonal/>
    </border>
    <border>
      <left/>
      <right/>
      <top/>
      <bottom style="medium">
        <color rgb="FFDBE4F0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theme="0"/>
      </bottom>
      <diagonal/>
    </border>
    <border>
      <left/>
      <right/>
      <top style="hair">
        <color rgb="FF00206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206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2060"/>
      </right>
      <top style="medium">
        <color auto="1"/>
      </top>
      <bottom/>
      <diagonal/>
    </border>
    <border>
      <left style="medium">
        <color auto="1"/>
      </left>
      <right style="medium">
        <color rgb="FF002060"/>
      </right>
      <top/>
      <bottom/>
      <diagonal/>
    </border>
    <border>
      <left style="medium">
        <color auto="1"/>
      </left>
      <right style="medium">
        <color rgb="FF002060"/>
      </right>
      <top/>
      <bottom style="medium">
        <color auto="1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 style="medium">
        <color rgb="FF1F4E79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6" fillId="9" borderId="0" applyNumberFormat="0" applyBorder="0" applyAlignment="0" applyProtection="0"/>
    <xf numFmtId="0" fontId="15" fillId="0" borderId="0"/>
    <xf numFmtId="0" fontId="39" fillId="0" borderId="0"/>
    <xf numFmtId="9" fontId="15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57" fillId="0" borderId="0"/>
  </cellStyleXfs>
  <cellXfs count="46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7" fillId="0" borderId="0" xfId="0" applyFont="1"/>
    <xf numFmtId="10" fontId="0" fillId="0" borderId="0" xfId="1" applyNumberFormat="1" applyFont="1"/>
    <xf numFmtId="2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4" xfId="0" applyBorder="1"/>
    <xf numFmtId="0" fontId="3" fillId="0" borderId="3" xfId="0" applyFont="1" applyBorder="1"/>
    <xf numFmtId="10" fontId="3" fillId="4" borderId="4" xfId="0" applyNumberFormat="1" applyFont="1" applyFill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0" fontId="7" fillId="0" borderId="0" xfId="0" applyNumberFormat="1" applyFont="1"/>
    <xf numFmtId="10" fontId="0" fillId="0" borderId="4" xfId="1" applyNumberFormat="1" applyFont="1" applyBorder="1"/>
    <xf numFmtId="10" fontId="0" fillId="0" borderId="4" xfId="0" applyNumberFormat="1" applyBorder="1"/>
    <xf numFmtId="10" fontId="0" fillId="4" borderId="0" xfId="0" applyNumberFormat="1" applyFill="1"/>
    <xf numFmtId="10" fontId="0" fillId="4" borderId="4" xfId="0" applyNumberFormat="1" applyFill="1" applyBorder="1"/>
    <xf numFmtId="2" fontId="0" fillId="4" borderId="4" xfId="1" applyNumberFormat="1" applyFont="1" applyFill="1" applyBorder="1"/>
    <xf numFmtId="0" fontId="0" fillId="0" borderId="2" xfId="0" applyBorder="1" applyAlignment="1">
      <alignment horizontal="left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vertical="top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4" fontId="0" fillId="0" borderId="0" xfId="0" applyNumberFormat="1"/>
    <xf numFmtId="4" fontId="0" fillId="0" borderId="0" xfId="0" applyNumberFormat="1" applyAlignment="1">
      <alignment horizontal="right" wrapText="1"/>
    </xf>
    <xf numFmtId="10" fontId="0" fillId="0" borderId="0" xfId="0" applyNumberFormat="1" applyAlignment="1">
      <alignment horizontal="right" wrapText="1"/>
    </xf>
    <xf numFmtId="0" fontId="0" fillId="6" borderId="0" xfId="0" applyFill="1" applyAlignment="1">
      <alignment wrapText="1"/>
    </xf>
    <xf numFmtId="0" fontId="10" fillId="7" borderId="0" xfId="0" applyFont="1" applyFill="1" applyAlignment="1">
      <alignment vertical="center" wrapText="1"/>
    </xf>
    <xf numFmtId="2" fontId="0" fillId="0" borderId="0" xfId="0" applyNumberFormat="1" applyAlignment="1">
      <alignment horizontal="right" wrapText="1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Continuous"/>
    </xf>
    <xf numFmtId="2" fontId="0" fillId="6" borderId="0" xfId="0" applyNumberFormat="1" applyFill="1" applyAlignment="1">
      <alignment horizontal="right" wrapText="1"/>
    </xf>
    <xf numFmtId="10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4" fontId="7" fillId="0" borderId="0" xfId="0" applyNumberFormat="1" applyFont="1" applyAlignment="1">
      <alignment horizontal="right" wrapText="1"/>
    </xf>
    <xf numFmtId="164" fontId="0" fillId="0" borderId="0" xfId="0" applyNumberFormat="1"/>
    <xf numFmtId="0" fontId="0" fillId="0" borderId="0" xfId="0" applyAlignment="1">
      <alignment horizontal="left"/>
    </xf>
    <xf numFmtId="0" fontId="3" fillId="0" borderId="5" xfId="0" applyFont="1" applyBorder="1" applyAlignment="1">
      <alignment horizontal="left" wrapText="1"/>
    </xf>
    <xf numFmtId="0" fontId="3" fillId="4" borderId="0" xfId="0" applyFont="1" applyFill="1"/>
    <xf numFmtId="2" fontId="3" fillId="4" borderId="0" xfId="0" applyNumberFormat="1" applyFont="1" applyFill="1"/>
    <xf numFmtId="10" fontId="0" fillId="0" borderId="0" xfId="1" applyNumberFormat="1" applyFont="1" applyAlignment="1">
      <alignment horizontal="right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9" fontId="0" fillId="4" borderId="0" xfId="0" applyNumberFormat="1" applyFill="1"/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7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0" fontId="0" fillId="4" borderId="0" xfId="1" applyNumberFormat="1" applyFont="1" applyFill="1" applyAlignment="1">
      <alignment horizontal="right"/>
    </xf>
    <xf numFmtId="2" fontId="0" fillId="4" borderId="0" xfId="0" applyNumberFormat="1" applyFill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Border="1" applyAlignment="1">
      <alignment horizontal="right"/>
    </xf>
    <xf numFmtId="10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2" xfId="1" applyNumberFormat="1" applyFont="1" applyBorder="1" applyAlignment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17" fontId="0" fillId="0" borderId="0" xfId="0" applyNumberFormat="1"/>
    <xf numFmtId="3" fontId="0" fillId="0" borderId="0" xfId="0" applyNumberFormat="1"/>
    <xf numFmtId="17" fontId="12" fillId="2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/>
    </xf>
    <xf numFmtId="166" fontId="3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7" fontId="12" fillId="7" borderId="0" xfId="0" applyNumberFormat="1" applyFont="1" applyFill="1" applyAlignment="1">
      <alignment horizontal="right"/>
    </xf>
    <xf numFmtId="0" fontId="3" fillId="0" borderId="9" xfId="0" applyFont="1" applyBorder="1" applyAlignment="1">
      <alignment horizontal="left"/>
    </xf>
    <xf numFmtId="166" fontId="3" fillId="0" borderId="9" xfId="0" applyNumberFormat="1" applyFont="1" applyBorder="1" applyAlignment="1">
      <alignment horizontal="right"/>
    </xf>
    <xf numFmtId="0" fontId="3" fillId="0" borderId="8" xfId="0" applyFont="1" applyBorder="1"/>
    <xf numFmtId="0" fontId="0" fillId="0" borderId="8" xfId="0" applyBorder="1"/>
    <xf numFmtId="168" fontId="0" fillId="0" borderId="0" xfId="0" applyNumberFormat="1"/>
    <xf numFmtId="168" fontId="0" fillId="0" borderId="8" xfId="0" applyNumberFormat="1" applyBorder="1"/>
    <xf numFmtId="0" fontId="0" fillId="0" borderId="10" xfId="0" applyBorder="1"/>
    <xf numFmtId="168" fontId="0" fillId="0" borderId="10" xfId="0" applyNumberFormat="1" applyBorder="1"/>
    <xf numFmtId="168" fontId="3" fillId="0" borderId="8" xfId="0" applyNumberFormat="1" applyFont="1" applyBorder="1"/>
    <xf numFmtId="0" fontId="3" fillId="0" borderId="9" xfId="0" applyFont="1" applyBorder="1"/>
    <xf numFmtId="10" fontId="3" fillId="0" borderId="9" xfId="0" applyNumberFormat="1" applyFont="1" applyBorder="1"/>
    <xf numFmtId="10" fontId="3" fillId="0" borderId="0" xfId="1" applyNumberFormat="1" applyFont="1"/>
    <xf numFmtId="0" fontId="0" fillId="0" borderId="9" xfId="0" applyBorder="1"/>
    <xf numFmtId="10" fontId="3" fillId="0" borderId="9" xfId="1" applyNumberFormat="1" applyFont="1" applyBorder="1"/>
    <xf numFmtId="10" fontId="3" fillId="4" borderId="0" xfId="1" applyNumberFormat="1" applyFont="1" applyFill="1"/>
    <xf numFmtId="168" fontId="0" fillId="0" borderId="9" xfId="0" applyNumberFormat="1" applyBorder="1"/>
    <xf numFmtId="10" fontId="7" fillId="0" borderId="10" xfId="0" applyNumberFormat="1" applyFont="1" applyBorder="1"/>
    <xf numFmtId="0" fontId="0" fillId="0" borderId="11" xfId="0" applyBorder="1"/>
    <xf numFmtId="10" fontId="0" fillId="0" borderId="11" xfId="0" applyNumberFormat="1" applyBorder="1"/>
    <xf numFmtId="10" fontId="0" fillId="0" borderId="10" xfId="0" applyNumberFormat="1" applyBorder="1"/>
    <xf numFmtId="168" fontId="3" fillId="0" borderId="0" xfId="0" applyNumberFormat="1" applyFont="1"/>
    <xf numFmtId="169" fontId="12" fillId="2" borderId="0" xfId="0" applyNumberFormat="1" applyFont="1" applyFill="1" applyAlignment="1">
      <alignment horizontal="right"/>
    </xf>
    <xf numFmtId="170" fontId="12" fillId="2" borderId="0" xfId="0" applyNumberFormat="1" applyFont="1" applyFill="1" applyAlignment="1">
      <alignment horizontal="right"/>
    </xf>
    <xf numFmtId="0" fontId="3" fillId="0" borderId="13" xfId="0" applyFont="1" applyBorder="1"/>
    <xf numFmtId="0" fontId="0" fillId="0" borderId="13" xfId="0" applyBorder="1"/>
    <xf numFmtId="0" fontId="0" fillId="4" borderId="0" xfId="0" applyFill="1"/>
    <xf numFmtId="0" fontId="3" fillId="0" borderId="10" xfId="0" applyFont="1" applyBorder="1"/>
    <xf numFmtId="0" fontId="3" fillId="8" borderId="0" xfId="0" applyFont="1" applyFill="1"/>
    <xf numFmtId="0" fontId="0" fillId="8" borderId="0" xfId="0" applyFill="1"/>
    <xf numFmtId="10" fontId="0" fillId="8" borderId="0" xfId="0" applyNumberFormat="1" applyFill="1"/>
    <xf numFmtId="10" fontId="7" fillId="8" borderId="0" xfId="0" applyNumberFormat="1" applyFont="1" applyFill="1"/>
    <xf numFmtId="0" fontId="4" fillId="7" borderId="0" xfId="0" applyFont="1" applyFill="1"/>
    <xf numFmtId="2" fontId="3" fillId="0" borderId="9" xfId="0" applyNumberFormat="1" applyFont="1" applyBorder="1"/>
    <xf numFmtId="2" fontId="12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left"/>
    </xf>
    <xf numFmtId="10" fontId="3" fillId="0" borderId="0" xfId="0" applyNumberFormat="1" applyFont="1"/>
    <xf numFmtId="167" fontId="0" fillId="0" borderId="0" xfId="0" applyNumberFormat="1"/>
    <xf numFmtId="167" fontId="0" fillId="8" borderId="0" xfId="0" applyNumberForma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0" fillId="7" borderId="0" xfId="0" applyFill="1"/>
    <xf numFmtId="0" fontId="3" fillId="0" borderId="4" xfId="0" applyFont="1" applyBorder="1"/>
    <xf numFmtId="10" fontId="3" fillId="4" borderId="4" xfId="1" applyNumberFormat="1" applyFont="1" applyFill="1" applyBorder="1"/>
    <xf numFmtId="9" fontId="7" fillId="0" borderId="0" xfId="0" applyNumberFormat="1" applyFont="1"/>
    <xf numFmtId="10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right"/>
    </xf>
    <xf numFmtId="4" fontId="7" fillId="0" borderId="0" xfId="0" applyNumberFormat="1" applyFont="1"/>
    <xf numFmtId="164" fontId="7" fillId="0" borderId="0" xfId="0" applyNumberFormat="1" applyFont="1"/>
    <xf numFmtId="0" fontId="7" fillId="0" borderId="0" xfId="0" applyFont="1" applyAlignment="1">
      <alignment horizontal="left"/>
    </xf>
    <xf numFmtId="0" fontId="15" fillId="0" borderId="0" xfId="2"/>
    <xf numFmtId="10" fontId="0" fillId="0" borderId="3" xfId="3" applyNumberFormat="1" applyFont="1" applyBorder="1"/>
    <xf numFmtId="10" fontId="0" fillId="0" borderId="14" xfId="3" applyNumberFormat="1" applyFont="1" applyBorder="1"/>
    <xf numFmtId="0" fontId="15" fillId="0" borderId="14" xfId="2" applyBorder="1"/>
    <xf numFmtId="10" fontId="0" fillId="0" borderId="0" xfId="3" applyNumberFormat="1" applyFont="1" applyBorder="1"/>
    <xf numFmtId="10" fontId="0" fillId="0" borderId="15" xfId="3" applyNumberFormat="1" applyFont="1" applyBorder="1"/>
    <xf numFmtId="10" fontId="0" fillId="0" borderId="16" xfId="3" applyNumberFormat="1" applyFont="1" applyBorder="1"/>
    <xf numFmtId="0" fontId="15" fillId="0" borderId="16" xfId="2" applyBorder="1"/>
    <xf numFmtId="10" fontId="0" fillId="0" borderId="0" xfId="3" applyNumberFormat="1" applyFont="1"/>
    <xf numFmtId="172" fontId="15" fillId="0" borderId="3" xfId="2" applyNumberFormat="1" applyBorder="1"/>
    <xf numFmtId="172" fontId="15" fillId="0" borderId="14" xfId="2" applyNumberFormat="1" applyBorder="1"/>
    <xf numFmtId="172" fontId="15" fillId="0" borderId="0" xfId="2" applyNumberFormat="1"/>
    <xf numFmtId="172" fontId="15" fillId="0" borderId="15" xfId="2" applyNumberFormat="1" applyBorder="1"/>
    <xf numFmtId="172" fontId="15" fillId="0" borderId="16" xfId="2" applyNumberFormat="1" applyBorder="1"/>
    <xf numFmtId="173" fontId="15" fillId="0" borderId="3" xfId="2" applyNumberFormat="1" applyBorder="1"/>
    <xf numFmtId="173" fontId="15" fillId="0" borderId="14" xfId="2" applyNumberFormat="1" applyBorder="1"/>
    <xf numFmtId="173" fontId="15" fillId="0" borderId="0" xfId="2" applyNumberFormat="1"/>
    <xf numFmtId="173" fontId="15" fillId="0" borderId="15" xfId="2" applyNumberFormat="1" applyBorder="1"/>
    <xf numFmtId="173" fontId="15" fillId="0" borderId="16" xfId="2" applyNumberFormat="1" applyBorder="1"/>
    <xf numFmtId="0" fontId="17" fillId="0" borderId="0" xfId="2" applyFont="1"/>
    <xf numFmtId="174" fontId="17" fillId="0" borderId="12" xfId="2" applyNumberFormat="1" applyFont="1" applyBorder="1"/>
    <xf numFmtId="174" fontId="15" fillId="0" borderId="0" xfId="2" applyNumberFormat="1"/>
    <xf numFmtId="0" fontId="17" fillId="0" borderId="12" xfId="2" applyFont="1" applyBorder="1"/>
    <xf numFmtId="0" fontId="15" fillId="7" borderId="0" xfId="2" applyFill="1"/>
    <xf numFmtId="10" fontId="20" fillId="0" borderId="0" xfId="3" applyNumberFormat="1" applyFont="1"/>
    <xf numFmtId="175" fontId="17" fillId="0" borderId="12" xfId="2" applyNumberFormat="1" applyFont="1" applyBorder="1"/>
    <xf numFmtId="43" fontId="17" fillId="0" borderId="12" xfId="4" applyFont="1" applyFill="1" applyBorder="1"/>
    <xf numFmtId="175" fontId="15" fillId="0" borderId="0" xfId="2" applyNumberFormat="1"/>
    <xf numFmtId="43" fontId="17" fillId="0" borderId="0" xfId="4" applyFont="1" applyFill="1" applyBorder="1"/>
    <xf numFmtId="43" fontId="0" fillId="0" borderId="0" xfId="4" applyFont="1" applyBorder="1"/>
    <xf numFmtId="43" fontId="15" fillId="0" borderId="0" xfId="4" applyFont="1" applyBorder="1"/>
    <xf numFmtId="43" fontId="17" fillId="0" borderId="12" xfId="4" applyFont="1" applyBorder="1"/>
    <xf numFmtId="176" fontId="15" fillId="0" borderId="0" xfId="2" applyNumberFormat="1"/>
    <xf numFmtId="43" fontId="17" fillId="0" borderId="0" xfId="4" applyFont="1" applyBorder="1"/>
    <xf numFmtId="175" fontId="17" fillId="0" borderId="0" xfId="2" applyNumberFormat="1" applyFont="1"/>
    <xf numFmtId="0" fontId="20" fillId="0" borderId="0" xfId="2" applyFont="1"/>
    <xf numFmtId="0" fontId="16" fillId="7" borderId="0" xfId="2" applyFont="1" applyFill="1"/>
    <xf numFmtId="0" fontId="16" fillId="7" borderId="0" xfId="2" applyFont="1" applyFill="1" applyAlignment="1">
      <alignment horizontal="right"/>
    </xf>
    <xf numFmtId="0" fontId="21" fillId="7" borderId="0" xfId="2" applyFont="1" applyFill="1"/>
    <xf numFmtId="10" fontId="0" fillId="0" borderId="0" xfId="3" applyNumberFormat="1" applyFont="1" applyAlignment="1">
      <alignment horizontal="right"/>
    </xf>
    <xf numFmtId="167" fontId="15" fillId="0" borderId="0" xfId="2" applyNumberFormat="1" applyAlignment="1">
      <alignment horizontal="right"/>
    </xf>
    <xf numFmtId="177" fontId="15" fillId="0" borderId="0" xfId="2" applyNumberFormat="1" applyAlignment="1">
      <alignment horizontal="right"/>
    </xf>
    <xf numFmtId="0" fontId="15" fillId="0" borderId="0" xfId="2" applyAlignment="1">
      <alignment horizontal="left"/>
    </xf>
    <xf numFmtId="10" fontId="0" fillId="8" borderId="0" xfId="3" applyNumberFormat="1" applyFont="1" applyFill="1" applyAlignment="1">
      <alignment horizontal="right"/>
    </xf>
    <xf numFmtId="178" fontId="15" fillId="8" borderId="0" xfId="2" applyNumberFormat="1" applyFill="1" applyAlignment="1">
      <alignment horizontal="right"/>
    </xf>
    <xf numFmtId="0" fontId="15" fillId="8" borderId="0" xfId="2" applyFill="1" applyAlignment="1">
      <alignment horizontal="left"/>
    </xf>
    <xf numFmtId="179" fontId="15" fillId="0" borderId="0" xfId="2" applyNumberFormat="1" applyAlignment="1">
      <alignment horizontal="right"/>
    </xf>
    <xf numFmtId="3" fontId="15" fillId="0" borderId="0" xfId="2" applyNumberFormat="1" applyAlignment="1">
      <alignment horizontal="right"/>
    </xf>
    <xf numFmtId="17" fontId="12" fillId="2" borderId="0" xfId="2" applyNumberFormat="1" applyFont="1" applyFill="1" applyAlignment="1">
      <alignment horizontal="right"/>
    </xf>
    <xf numFmtId="0" fontId="12" fillId="2" borderId="0" xfId="2" applyFont="1" applyFill="1" applyAlignment="1">
      <alignment horizontal="left"/>
    </xf>
    <xf numFmtId="180" fontId="0" fillId="0" borderId="0" xfId="4" applyNumberFormat="1" applyFont="1" applyBorder="1"/>
    <xf numFmtId="181" fontId="22" fillId="0" borderId="0" xfId="4" applyNumberFormat="1" applyFont="1" applyFill="1" applyBorder="1"/>
    <xf numFmtId="181" fontId="23" fillId="12" borderId="0" xfId="2" applyNumberFormat="1" applyFont="1" applyFill="1" applyAlignment="1">
      <alignment horizontal="center"/>
    </xf>
    <xf numFmtId="181" fontId="23" fillId="12" borderId="0" xfId="4" applyNumberFormat="1" applyFont="1" applyFill="1" applyBorder="1"/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Continuous"/>
    </xf>
    <xf numFmtId="0" fontId="25" fillId="0" borderId="0" xfId="0" applyFont="1"/>
    <xf numFmtId="0" fontId="26" fillId="0" borderId="0" xfId="0" applyFont="1"/>
    <xf numFmtId="182" fontId="3" fillId="7" borderId="0" xfId="0" applyNumberFormat="1" applyFont="1" applyFill="1"/>
    <xf numFmtId="0" fontId="3" fillId="7" borderId="0" xfId="0" applyFont="1" applyFill="1"/>
    <xf numFmtId="182" fontId="3" fillId="8" borderId="19" xfId="0" applyNumberFormat="1" applyFont="1" applyFill="1" applyBorder="1"/>
    <xf numFmtId="0" fontId="3" fillId="8" borderId="19" xfId="0" applyFont="1" applyFill="1" applyBorder="1"/>
    <xf numFmtId="182" fontId="0" fillId="0" borderId="10" xfId="0" applyNumberFormat="1" applyBorder="1"/>
    <xf numFmtId="0" fontId="1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19" xfId="0" applyFont="1" applyFill="1" applyBorder="1" applyAlignment="1">
      <alignment vertical="top"/>
    </xf>
    <xf numFmtId="0" fontId="12" fillId="2" borderId="19" xfId="0" applyFont="1" applyFill="1" applyBorder="1" applyAlignment="1">
      <alignment vertical="top"/>
    </xf>
    <xf numFmtId="183" fontId="0" fillId="8" borderId="10" xfId="0" applyNumberFormat="1" applyFill="1" applyBorder="1"/>
    <xf numFmtId="0" fontId="0" fillId="8" borderId="10" xfId="0" applyFill="1" applyBorder="1"/>
    <xf numFmtId="183" fontId="3" fillId="8" borderId="10" xfId="0" applyNumberFormat="1" applyFont="1" applyFill="1" applyBorder="1"/>
    <xf numFmtId="0" fontId="3" fillId="8" borderId="10" xfId="0" applyFont="1" applyFill="1" applyBorder="1"/>
    <xf numFmtId="182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12" fillId="2" borderId="0" xfId="0" applyFont="1" applyFill="1" applyAlignment="1">
      <alignment horizontal="right" wrapText="1"/>
    </xf>
    <xf numFmtId="0" fontId="4" fillId="2" borderId="20" xfId="0" applyFont="1" applyFill="1" applyBorder="1"/>
    <xf numFmtId="0" fontId="0" fillId="7" borderId="19" xfId="0" applyFill="1" applyBorder="1" applyAlignment="1">
      <alignment vertical="top"/>
    </xf>
    <xf numFmtId="0" fontId="27" fillId="7" borderId="19" xfId="0" applyFont="1" applyFill="1" applyBorder="1" applyAlignment="1">
      <alignment vertical="top"/>
    </xf>
    <xf numFmtId="0" fontId="13" fillId="7" borderId="19" xfId="0" applyFont="1" applyFill="1" applyBorder="1" applyAlignment="1">
      <alignment vertical="top"/>
    </xf>
    <xf numFmtId="2" fontId="0" fillId="0" borderId="0" xfId="0" applyNumberFormat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28" fillId="7" borderId="0" xfId="0" applyFont="1" applyFill="1"/>
    <xf numFmtId="0" fontId="29" fillId="2" borderId="0" xfId="0" applyFont="1" applyFill="1"/>
    <xf numFmtId="0" fontId="15" fillId="2" borderId="0" xfId="2" applyFill="1"/>
    <xf numFmtId="0" fontId="16" fillId="2" borderId="0" xfId="2" applyFont="1" applyFill="1"/>
    <xf numFmtId="17" fontId="16" fillId="2" borderId="0" xfId="2" applyNumberFormat="1" applyFont="1" applyFill="1"/>
    <xf numFmtId="17" fontId="16" fillId="2" borderId="0" xfId="2" applyNumberFormat="1" applyFont="1" applyFill="1" applyAlignment="1">
      <alignment horizontal="right"/>
    </xf>
    <xf numFmtId="17" fontId="21" fillId="2" borderId="0" xfId="2" applyNumberFormat="1" applyFont="1" applyFill="1"/>
    <xf numFmtId="0" fontId="16" fillId="2" borderId="0" xfId="2" applyFont="1" applyFill="1" applyAlignment="1">
      <alignment horizontal="right"/>
    </xf>
    <xf numFmtId="0" fontId="23" fillId="2" borderId="0" xfId="2" applyFont="1" applyFill="1"/>
    <xf numFmtId="182" fontId="15" fillId="0" borderId="0" xfId="2" applyNumberFormat="1"/>
    <xf numFmtId="3" fontId="19" fillId="7" borderId="0" xfId="2" applyNumberFormat="1" applyFont="1" applyFill="1" applyAlignment="1">
      <alignment horizontal="right" vertical="center" wrapText="1"/>
    </xf>
    <xf numFmtId="182" fontId="19" fillId="7" borderId="0" xfId="2" applyNumberFormat="1" applyFont="1" applyFill="1" applyAlignment="1">
      <alignment horizontal="right" vertical="center" wrapText="1"/>
    </xf>
    <xf numFmtId="0" fontId="19" fillId="7" borderId="0" xfId="2" applyFont="1" applyFill="1" applyAlignment="1">
      <alignment horizontal="right" vertical="center" wrapText="1"/>
    </xf>
    <xf numFmtId="3" fontId="17" fillId="7" borderId="0" xfId="2" applyNumberFormat="1" applyFont="1" applyFill="1"/>
    <xf numFmtId="182" fontId="17" fillId="7" borderId="0" xfId="2" applyNumberFormat="1" applyFont="1" applyFill="1"/>
    <xf numFmtId="3" fontId="18" fillId="7" borderId="0" xfId="2" applyNumberFormat="1" applyFont="1" applyFill="1" applyAlignment="1">
      <alignment vertical="center" wrapText="1"/>
    </xf>
    <xf numFmtId="3" fontId="15" fillId="7" borderId="0" xfId="2" applyNumberFormat="1" applyFill="1"/>
    <xf numFmtId="0" fontId="17" fillId="3" borderId="0" xfId="2" applyFont="1" applyFill="1"/>
    <xf numFmtId="0" fontId="15" fillId="3" borderId="0" xfId="2" applyFill="1"/>
    <xf numFmtId="0" fontId="3" fillId="7" borderId="0" xfId="0" applyFont="1" applyFill="1" applyAlignment="1">
      <alignment horizontal="left"/>
    </xf>
    <xf numFmtId="0" fontId="3" fillId="0" borderId="8" xfId="0" applyFont="1" applyBorder="1" applyAlignment="1">
      <alignment horizontal="left"/>
    </xf>
    <xf numFmtId="166" fontId="3" fillId="0" borderId="8" xfId="0" applyNumberFormat="1" applyFont="1" applyBorder="1" applyAlignment="1">
      <alignment horizontal="right"/>
    </xf>
    <xf numFmtId="166" fontId="3" fillId="0" borderId="10" xfId="0" applyNumberFormat="1" applyFont="1" applyBorder="1" applyAlignment="1">
      <alignment horizontal="right"/>
    </xf>
    <xf numFmtId="166" fontId="0" fillId="0" borderId="10" xfId="0" applyNumberFormat="1" applyBorder="1" applyAlignment="1">
      <alignment horizontal="right"/>
    </xf>
    <xf numFmtId="166" fontId="0" fillId="0" borderId="21" xfId="0" applyNumberFormat="1" applyBorder="1" applyAlignment="1">
      <alignment horizontal="right"/>
    </xf>
    <xf numFmtId="9" fontId="0" fillId="0" borderId="10" xfId="0" applyNumberFormat="1" applyBorder="1"/>
    <xf numFmtId="184" fontId="0" fillId="4" borderId="0" xfId="0" applyNumberFormat="1" applyFill="1" applyAlignment="1">
      <alignment horizontal="right"/>
    </xf>
    <xf numFmtId="182" fontId="30" fillId="10" borderId="10" xfId="2" applyNumberFormat="1" applyFont="1" applyFill="1" applyBorder="1" applyAlignment="1">
      <alignment horizontal="right" vertical="center" wrapText="1"/>
    </xf>
    <xf numFmtId="182" fontId="31" fillId="11" borderId="19" xfId="2" applyNumberFormat="1" applyFont="1" applyFill="1" applyBorder="1" applyAlignment="1">
      <alignment horizontal="right" vertical="center" wrapText="1"/>
    </xf>
    <xf numFmtId="182" fontId="30" fillId="11" borderId="0" xfId="2" applyNumberFormat="1" applyFont="1" applyFill="1" applyAlignment="1">
      <alignment horizontal="right" vertical="center" wrapText="1"/>
    </xf>
    <xf numFmtId="182" fontId="30" fillId="11" borderId="10" xfId="2" applyNumberFormat="1" applyFont="1" applyFill="1" applyBorder="1" applyAlignment="1">
      <alignment horizontal="right" vertical="center" wrapText="1"/>
    </xf>
    <xf numFmtId="182" fontId="31" fillId="10" borderId="19" xfId="2" applyNumberFormat="1" applyFont="1" applyFill="1" applyBorder="1" applyAlignment="1">
      <alignment horizontal="right" vertical="center" wrapText="1"/>
    </xf>
    <xf numFmtId="182" fontId="30" fillId="10" borderId="0" xfId="2" applyNumberFormat="1" applyFont="1" applyFill="1" applyAlignment="1">
      <alignment horizontal="right" vertical="center" wrapText="1"/>
    </xf>
    <xf numFmtId="182" fontId="30" fillId="10" borderId="21" xfId="2" applyNumberFormat="1" applyFont="1" applyFill="1" applyBorder="1" applyAlignment="1">
      <alignment horizontal="right" vertical="center" wrapText="1"/>
    </xf>
    <xf numFmtId="182" fontId="31" fillId="11" borderId="9" xfId="2" applyNumberFormat="1" applyFont="1" applyFill="1" applyBorder="1" applyAlignment="1">
      <alignment horizontal="right" vertical="center" wrapText="1"/>
    </xf>
    <xf numFmtId="182" fontId="32" fillId="10" borderId="0" xfId="2" applyNumberFormat="1" applyFont="1" applyFill="1" applyAlignment="1">
      <alignment horizontal="right" vertical="center" wrapText="1"/>
    </xf>
    <xf numFmtId="17" fontId="3" fillId="0" borderId="0" xfId="0" applyNumberFormat="1" applyFont="1"/>
    <xf numFmtId="166" fontId="3" fillId="0" borderId="9" xfId="0" applyNumberFormat="1" applyFont="1" applyBorder="1"/>
    <xf numFmtId="17" fontId="23" fillId="2" borderId="18" xfId="2" applyNumberFormat="1" applyFont="1" applyFill="1" applyBorder="1" applyAlignment="1">
      <alignment horizontal="right" vertical="center" wrapText="1"/>
    </xf>
    <xf numFmtId="0" fontId="31" fillId="10" borderId="17" xfId="2" applyFont="1" applyFill="1" applyBorder="1" applyAlignment="1">
      <alignment horizontal="right" vertical="center"/>
    </xf>
    <xf numFmtId="182" fontId="31" fillId="10" borderId="17" xfId="2" applyNumberFormat="1" applyFont="1" applyFill="1" applyBorder="1" applyAlignment="1">
      <alignment horizontal="right" vertical="center" wrapText="1"/>
    </xf>
    <xf numFmtId="0" fontId="30" fillId="10" borderId="10" xfId="2" applyFont="1" applyFill="1" applyBorder="1" applyAlignment="1">
      <alignment horizontal="left" vertical="center"/>
    </xf>
    <xf numFmtId="0" fontId="31" fillId="11" borderId="19" xfId="2" applyFont="1" applyFill="1" applyBorder="1" applyAlignment="1">
      <alignment horizontal="right" vertical="center"/>
    </xf>
    <xf numFmtId="0" fontId="30" fillId="11" borderId="0" xfId="2" applyFont="1" applyFill="1" applyAlignment="1">
      <alignment horizontal="left" vertical="center"/>
    </xf>
    <xf numFmtId="0" fontId="30" fillId="11" borderId="10" xfId="2" applyFont="1" applyFill="1" applyBorder="1" applyAlignment="1">
      <alignment horizontal="left" vertical="center"/>
    </xf>
    <xf numFmtId="0" fontId="31" fillId="10" borderId="19" xfId="2" applyFont="1" applyFill="1" applyBorder="1" applyAlignment="1">
      <alignment horizontal="right" vertical="center"/>
    </xf>
    <xf numFmtId="0" fontId="30" fillId="10" borderId="0" xfId="2" applyFont="1" applyFill="1" applyAlignment="1">
      <alignment horizontal="left" vertical="center"/>
    </xf>
    <xf numFmtId="0" fontId="30" fillId="10" borderId="21" xfId="2" applyFont="1" applyFill="1" applyBorder="1" applyAlignment="1">
      <alignment horizontal="left" vertical="center"/>
    </xf>
    <xf numFmtId="0" fontId="31" fillId="11" borderId="9" xfId="2" applyFont="1" applyFill="1" applyBorder="1" applyAlignment="1">
      <alignment horizontal="left" vertical="center" indent="2"/>
    </xf>
    <xf numFmtId="0" fontId="32" fillId="10" borderId="0" xfId="2" applyFont="1" applyFill="1" applyAlignment="1">
      <alignment horizontal="left" vertical="center" indent="2"/>
    </xf>
    <xf numFmtId="0" fontId="34" fillId="0" borderId="0" xfId="0" applyFont="1"/>
    <xf numFmtId="0" fontId="34" fillId="7" borderId="0" xfId="0" applyFont="1" applyFill="1"/>
    <xf numFmtId="0" fontId="34" fillId="0" borderId="0" xfId="0" applyFont="1" applyAlignment="1">
      <alignment horizontal="left"/>
    </xf>
    <xf numFmtId="185" fontId="7" fillId="0" borderId="0" xfId="1" applyNumberFormat="1" applyFont="1"/>
    <xf numFmtId="185" fontId="3" fillId="0" borderId="9" xfId="1" applyNumberFormat="1" applyFont="1" applyBorder="1"/>
    <xf numFmtId="185" fontId="2" fillId="0" borderId="11" xfId="1" applyNumberFormat="1" applyFont="1" applyBorder="1"/>
    <xf numFmtId="171" fontId="0" fillId="8" borderId="0" xfId="1" applyNumberFormat="1" applyFont="1" applyFill="1"/>
    <xf numFmtId="0" fontId="0" fillId="7" borderId="10" xfId="0" applyFill="1" applyBorder="1" applyAlignment="1">
      <alignment horizontal="left"/>
    </xf>
    <xf numFmtId="0" fontId="0" fillId="7" borderId="10" xfId="0" applyFill="1" applyBorder="1" applyAlignment="1">
      <alignment horizontal="right"/>
    </xf>
    <xf numFmtId="0" fontId="0" fillId="7" borderId="10" xfId="0" applyFill="1" applyBorder="1"/>
    <xf numFmtId="0" fontId="0" fillId="8" borderId="10" xfId="0" applyFill="1" applyBorder="1" applyAlignment="1">
      <alignment horizontal="left"/>
    </xf>
    <xf numFmtId="171" fontId="0" fillId="7" borderId="10" xfId="0" applyNumberFormat="1" applyFill="1" applyBorder="1" applyAlignment="1">
      <alignment horizontal="right"/>
    </xf>
    <xf numFmtId="0" fontId="30" fillId="10" borderId="17" xfId="2" applyFont="1" applyFill="1" applyBorder="1" applyAlignment="1">
      <alignment horizontal="left" vertical="center"/>
    </xf>
    <xf numFmtId="0" fontId="31" fillId="11" borderId="12" xfId="2" applyFont="1" applyFill="1" applyBorder="1" applyAlignment="1">
      <alignment horizontal="left" vertical="center"/>
    </xf>
    <xf numFmtId="0" fontId="31" fillId="11" borderId="0" xfId="2" applyFont="1" applyFill="1" applyAlignment="1">
      <alignment horizontal="left" vertical="center"/>
    </xf>
    <xf numFmtId="0" fontId="31" fillId="10" borderId="12" xfId="2" applyFont="1" applyFill="1" applyBorder="1" applyAlignment="1">
      <alignment horizontal="left" vertical="center"/>
    </xf>
    <xf numFmtId="0" fontId="35" fillId="2" borderId="0" xfId="2" applyFont="1" applyFill="1"/>
    <xf numFmtId="0" fontId="36" fillId="2" borderId="0" xfId="0" applyFont="1" applyFill="1"/>
    <xf numFmtId="0" fontId="3" fillId="0" borderId="10" xfId="0" applyFont="1" applyBorder="1" applyAlignment="1">
      <alignment horizontal="left"/>
    </xf>
    <xf numFmtId="182" fontId="0" fillId="4" borderId="10" xfId="0" applyNumberFormat="1" applyFill="1" applyBorder="1"/>
    <xf numFmtId="182" fontId="7" fillId="4" borderId="10" xfId="0" applyNumberFormat="1" applyFont="1" applyFill="1" applyBorder="1"/>
    <xf numFmtId="182" fontId="7" fillId="0" borderId="10" xfId="0" applyNumberFormat="1" applyFont="1" applyBorder="1"/>
    <xf numFmtId="182" fontId="0" fillId="4" borderId="0" xfId="0" applyNumberFormat="1" applyFill="1"/>
    <xf numFmtId="182" fontId="0" fillId="0" borderId="0" xfId="0" applyNumberFormat="1"/>
    <xf numFmtId="182" fontId="0" fillId="4" borderId="13" xfId="0" applyNumberFormat="1" applyFill="1" applyBorder="1"/>
    <xf numFmtId="182" fontId="0" fillId="0" borderId="13" xfId="0" applyNumberFormat="1" applyBorder="1"/>
    <xf numFmtId="182" fontId="3" fillId="0" borderId="0" xfId="0" applyNumberFormat="1" applyFont="1"/>
    <xf numFmtId="182" fontId="7" fillId="0" borderId="0" xfId="0" applyNumberFormat="1" applyFont="1"/>
    <xf numFmtId="182" fontId="0" fillId="0" borderId="0" xfId="0" applyNumberFormat="1" applyAlignment="1">
      <alignment horizontal="right"/>
    </xf>
    <xf numFmtId="186" fontId="0" fillId="0" borderId="10" xfId="0" applyNumberFormat="1" applyBorder="1" applyAlignment="1">
      <alignment horizontal="right"/>
    </xf>
    <xf numFmtId="186" fontId="0" fillId="0" borderId="21" xfId="0" applyNumberFormat="1" applyBorder="1" applyAlignment="1">
      <alignment horizontal="right"/>
    </xf>
    <xf numFmtId="186" fontId="3" fillId="0" borderId="7" xfId="0" applyNumberFormat="1" applyFont="1" applyBorder="1" applyAlignment="1">
      <alignment horizontal="right"/>
    </xf>
    <xf numFmtId="186" fontId="0" fillId="0" borderId="0" xfId="0" applyNumberFormat="1" applyAlignment="1">
      <alignment horizontal="right"/>
    </xf>
    <xf numFmtId="166" fontId="0" fillId="0" borderId="9" xfId="0" applyNumberFormat="1" applyBorder="1" applyAlignment="1">
      <alignment horizontal="right"/>
    </xf>
    <xf numFmtId="166" fontId="0" fillId="0" borderId="0" xfId="0" applyNumberFormat="1"/>
    <xf numFmtId="166" fontId="0" fillId="8" borderId="0" xfId="0" applyNumberFormat="1" applyFill="1"/>
    <xf numFmtId="186" fontId="0" fillId="0" borderId="0" xfId="0" applyNumberFormat="1"/>
    <xf numFmtId="186" fontId="7" fillId="0" borderId="0" xfId="0" applyNumberFormat="1" applyFont="1"/>
    <xf numFmtId="186" fontId="0" fillId="7" borderId="10" xfId="0" applyNumberFormat="1" applyFill="1" applyBorder="1" applyAlignment="1">
      <alignment horizontal="right"/>
    </xf>
    <xf numFmtId="186" fontId="0" fillId="0" borderId="10" xfId="0" applyNumberFormat="1" applyBorder="1"/>
    <xf numFmtId="186" fontId="0" fillId="0" borderId="11" xfId="0" applyNumberFormat="1" applyBorder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horizontal="right" wrapText="1"/>
    </xf>
    <xf numFmtId="7" fontId="7" fillId="0" borderId="0" xfId="0" applyNumberFormat="1" applyFont="1"/>
    <xf numFmtId="7" fontId="7" fillId="0" borderId="0" xfId="0" applyNumberFormat="1" applyFont="1" applyAlignment="1">
      <alignment horizontal="right"/>
    </xf>
    <xf numFmtId="186" fontId="0" fillId="7" borderId="0" xfId="0" applyNumberFormat="1" applyFill="1" applyAlignment="1">
      <alignment horizontal="right"/>
    </xf>
    <xf numFmtId="186" fontId="0" fillId="0" borderId="4" xfId="0" applyNumberFormat="1" applyBorder="1"/>
    <xf numFmtId="186" fontId="2" fillId="0" borderId="0" xfId="2" applyNumberFormat="1" applyFont="1" applyAlignment="1">
      <alignment horizontal="right"/>
    </xf>
    <xf numFmtId="186" fontId="2" fillId="8" borderId="0" xfId="2" applyNumberFormat="1" applyFont="1" applyFill="1" applyAlignment="1">
      <alignment horizontal="right"/>
    </xf>
    <xf numFmtId="0" fontId="37" fillId="2" borderId="0" xfId="2" applyFont="1" applyFill="1"/>
    <xf numFmtId="0" fontId="38" fillId="0" borderId="0" xfId="2" applyFont="1"/>
    <xf numFmtId="0" fontId="41" fillId="0" borderId="0" xfId="10"/>
    <xf numFmtId="0" fontId="41" fillId="0" borderId="0" xfId="10" applyAlignment="1">
      <alignment horizontal="center"/>
    </xf>
    <xf numFmtId="189" fontId="41" fillId="0" borderId="0" xfId="10" applyNumberFormat="1"/>
    <xf numFmtId="189" fontId="42" fillId="0" borderId="0" xfId="10" applyNumberFormat="1" applyFont="1"/>
    <xf numFmtId="0" fontId="41" fillId="0" borderId="3" xfId="10" applyBorder="1"/>
    <xf numFmtId="190" fontId="2" fillId="0" borderId="3" xfId="10" applyNumberFormat="1" applyFont="1" applyBorder="1"/>
    <xf numFmtId="189" fontId="44" fillId="0" borderId="0" xfId="10" applyNumberFormat="1" applyFont="1"/>
    <xf numFmtId="189" fontId="42" fillId="0" borderId="22" xfId="10" applyNumberFormat="1" applyFont="1" applyBorder="1"/>
    <xf numFmtId="0" fontId="42" fillId="0" borderId="22" xfId="10" applyFont="1" applyBorder="1"/>
    <xf numFmtId="0" fontId="41" fillId="0" borderId="22" xfId="10" applyBorder="1"/>
    <xf numFmtId="0" fontId="43" fillId="0" borderId="0" xfId="10" applyFont="1"/>
    <xf numFmtId="189" fontId="47" fillId="0" borderId="0" xfId="10" applyNumberFormat="1" applyFont="1"/>
    <xf numFmtId="0" fontId="48" fillId="0" borderId="0" xfId="10" applyFont="1"/>
    <xf numFmtId="191" fontId="42" fillId="0" borderId="0" xfId="10" applyNumberFormat="1" applyFont="1"/>
    <xf numFmtId="189" fontId="2" fillId="0" borderId="22" xfId="10" applyNumberFormat="1" applyFont="1" applyBorder="1"/>
    <xf numFmtId="187" fontId="2" fillId="7" borderId="22" xfId="10" applyNumberFormat="1" applyFont="1" applyFill="1" applyBorder="1"/>
    <xf numFmtId="189" fontId="2" fillId="7" borderId="22" xfId="10" applyNumberFormat="1" applyFont="1" applyFill="1" applyBorder="1"/>
    <xf numFmtId="0" fontId="2" fillId="7" borderId="22" xfId="10" applyFont="1" applyFill="1" applyBorder="1"/>
    <xf numFmtId="191" fontId="2" fillId="7" borderId="22" xfId="10" applyNumberFormat="1" applyFont="1" applyFill="1" applyBorder="1"/>
    <xf numFmtId="191" fontId="42" fillId="0" borderId="22" xfId="10" applyNumberFormat="1" applyFont="1" applyBorder="1"/>
    <xf numFmtId="191" fontId="50" fillId="0" borderId="0" xfId="10" applyNumberFormat="1" applyFont="1"/>
    <xf numFmtId="191" fontId="50" fillId="0" borderId="22" xfId="10" applyNumberFormat="1" applyFont="1" applyBorder="1"/>
    <xf numFmtId="189" fontId="41" fillId="0" borderId="22" xfId="10" applyNumberFormat="1" applyBorder="1"/>
    <xf numFmtId="189" fontId="44" fillId="0" borderId="22" xfId="10" applyNumberFormat="1" applyFont="1" applyBorder="1"/>
    <xf numFmtId="191" fontId="51" fillId="0" borderId="0" xfId="10" applyNumberFormat="1" applyFont="1"/>
    <xf numFmtId="191" fontId="51" fillId="0" borderId="22" xfId="10" applyNumberFormat="1" applyFont="1" applyBorder="1"/>
    <xf numFmtId="187" fontId="42" fillId="0" borderId="0" xfId="10" applyNumberFormat="1" applyFont="1"/>
    <xf numFmtId="187" fontId="41" fillId="0" borderId="0" xfId="10" applyNumberFormat="1"/>
    <xf numFmtId="188" fontId="41" fillId="0" borderId="0" xfId="10" applyNumberFormat="1"/>
    <xf numFmtId="0" fontId="47" fillId="0" borderId="0" xfId="10" applyFont="1"/>
    <xf numFmtId="188" fontId="42" fillId="0" borderId="0" xfId="10" applyNumberFormat="1" applyFont="1"/>
    <xf numFmtId="183" fontId="42" fillId="0" borderId="0" xfId="10" applyNumberFormat="1" applyFont="1"/>
    <xf numFmtId="192" fontId="41" fillId="0" borderId="0" xfId="10" applyNumberFormat="1"/>
    <xf numFmtId="0" fontId="53" fillId="0" borderId="0" xfId="10" applyFont="1" applyAlignment="1">
      <alignment horizontal="right"/>
    </xf>
    <xf numFmtId="0" fontId="41" fillId="0" borderId="0" xfId="10" applyAlignment="1">
      <alignment horizontal="right"/>
    </xf>
    <xf numFmtId="0" fontId="53" fillId="0" borderId="0" xfId="10" applyFont="1"/>
    <xf numFmtId="189" fontId="54" fillId="0" borderId="0" xfId="10" applyNumberFormat="1" applyFont="1"/>
    <xf numFmtId="187" fontId="2" fillId="0" borderId="0" xfId="10" applyNumberFormat="1" applyFont="1"/>
    <xf numFmtId="187" fontId="54" fillId="0" borderId="0" xfId="10" applyNumberFormat="1" applyFont="1" applyAlignment="1">
      <alignment horizontal="right"/>
    </xf>
    <xf numFmtId="0" fontId="45" fillId="0" borderId="0" xfId="10" applyFont="1" applyAlignment="1">
      <alignment horizontal="center"/>
    </xf>
    <xf numFmtId="0" fontId="46" fillId="0" borderId="0" xfId="10" applyFont="1" applyAlignment="1">
      <alignment horizontal="left"/>
    </xf>
    <xf numFmtId="0" fontId="56" fillId="0" borderId="3" xfId="10" applyFont="1" applyBorder="1"/>
    <xf numFmtId="0" fontId="41" fillId="0" borderId="3" xfId="10" applyBorder="1" applyAlignment="1">
      <alignment horizontal="center"/>
    </xf>
    <xf numFmtId="193" fontId="2" fillId="0" borderId="0" xfId="10" applyNumberFormat="1" applyFont="1"/>
    <xf numFmtId="0" fontId="46" fillId="14" borderId="0" xfId="10" applyFont="1" applyFill="1"/>
    <xf numFmtId="0" fontId="46" fillId="14" borderId="0" xfId="10" applyFont="1" applyFill="1" applyAlignment="1">
      <alignment horizontal="right"/>
    </xf>
    <xf numFmtId="0" fontId="46" fillId="15" borderId="0" xfId="10" applyFont="1" applyFill="1" applyAlignment="1">
      <alignment horizontal="left"/>
    </xf>
    <xf numFmtId="0" fontId="45" fillId="15" borderId="0" xfId="10" applyFont="1" applyFill="1" applyAlignment="1">
      <alignment horizontal="center"/>
    </xf>
    <xf numFmtId="0" fontId="46" fillId="16" borderId="0" xfId="10" applyFont="1" applyFill="1"/>
    <xf numFmtId="0" fontId="46" fillId="16" borderId="0" xfId="10" applyFont="1" applyFill="1" applyAlignment="1">
      <alignment horizontal="right"/>
    </xf>
    <xf numFmtId="0" fontId="46" fillId="17" borderId="0" xfId="10" applyFont="1" applyFill="1" applyAlignment="1">
      <alignment horizontal="left"/>
    </xf>
    <xf numFmtId="0" fontId="45" fillId="17" borderId="0" xfId="10" applyFont="1" applyFill="1" applyAlignment="1">
      <alignment horizontal="center"/>
    </xf>
    <xf numFmtId="0" fontId="41" fillId="2" borderId="0" xfId="10" applyFill="1"/>
    <xf numFmtId="0" fontId="43" fillId="18" borderId="0" xfId="10" applyFont="1" applyFill="1"/>
    <xf numFmtId="189" fontId="52" fillId="18" borderId="0" xfId="10" applyNumberFormat="1" applyFont="1" applyFill="1"/>
    <xf numFmtId="190" fontId="43" fillId="18" borderId="0" xfId="10" applyNumberFormat="1" applyFont="1" applyFill="1"/>
    <xf numFmtId="187" fontId="43" fillId="18" borderId="0" xfId="10" applyNumberFormat="1" applyFont="1" applyFill="1"/>
    <xf numFmtId="0" fontId="41" fillId="7" borderId="0" xfId="10" applyFill="1" applyAlignment="1">
      <alignment horizontal="center"/>
    </xf>
    <xf numFmtId="0" fontId="41" fillId="7" borderId="0" xfId="10" applyFill="1"/>
    <xf numFmtId="0" fontId="43" fillId="18" borderId="9" xfId="10" applyFont="1" applyFill="1" applyBorder="1"/>
    <xf numFmtId="2" fontId="42" fillId="18" borderId="9" xfId="10" applyNumberFormat="1" applyFont="1" applyFill="1" applyBorder="1"/>
    <xf numFmtId="189" fontId="42" fillId="18" borderId="9" xfId="10" applyNumberFormat="1" applyFont="1" applyFill="1" applyBorder="1"/>
    <xf numFmtId="187" fontId="42" fillId="13" borderId="0" xfId="10" applyNumberFormat="1" applyFont="1" applyFill="1"/>
    <xf numFmtId="0" fontId="43" fillId="13" borderId="9" xfId="10" applyFont="1" applyFill="1" applyBorder="1"/>
    <xf numFmtId="189" fontId="42" fillId="13" borderId="9" xfId="10" applyNumberFormat="1" applyFont="1" applyFill="1" applyBorder="1"/>
    <xf numFmtId="190" fontId="42" fillId="13" borderId="9" xfId="10" applyNumberFormat="1" applyFont="1" applyFill="1" applyBorder="1"/>
    <xf numFmtId="187" fontId="42" fillId="13" borderId="9" xfId="10" applyNumberFormat="1" applyFont="1" applyFill="1" applyBorder="1"/>
    <xf numFmtId="0" fontId="43" fillId="0" borderId="7" xfId="10" applyFont="1" applyBorder="1"/>
    <xf numFmtId="192" fontId="49" fillId="19" borderId="0" xfId="10" applyNumberFormat="1" applyFont="1" applyFill="1"/>
    <xf numFmtId="190" fontId="2" fillId="19" borderId="0" xfId="10" applyNumberFormat="1" applyFont="1" applyFill="1"/>
    <xf numFmtId="189" fontId="55" fillId="7" borderId="7" xfId="10" applyNumberFormat="1" applyFont="1" applyFill="1" applyBorder="1"/>
    <xf numFmtId="191" fontId="7" fillId="19" borderId="0" xfId="10" applyNumberFormat="1" applyFont="1" applyFill="1"/>
    <xf numFmtId="191" fontId="49" fillId="19" borderId="0" xfId="10" applyNumberFormat="1" applyFont="1" applyFill="1"/>
    <xf numFmtId="190" fontId="7" fillId="19" borderId="0" xfId="10" applyNumberFormat="1" applyFont="1" applyFill="1"/>
    <xf numFmtId="192" fontId="7" fillId="19" borderId="0" xfId="10" applyNumberFormat="1" applyFont="1" applyFill="1"/>
    <xf numFmtId="189" fontId="42" fillId="20" borderId="0" xfId="10" applyNumberFormat="1" applyFont="1" applyFill="1"/>
    <xf numFmtId="0" fontId="43" fillId="0" borderId="8" xfId="10" applyFont="1" applyBorder="1"/>
    <xf numFmtId="189" fontId="43" fillId="0" borderId="8" xfId="10" applyNumberFormat="1" applyFont="1" applyBorder="1"/>
    <xf numFmtId="189" fontId="42" fillId="0" borderId="23" xfId="10" applyNumberFormat="1" applyFont="1" applyBorder="1"/>
    <xf numFmtId="189" fontId="42" fillId="0" borderId="8" xfId="10" applyNumberFormat="1" applyFont="1" applyBorder="1"/>
    <xf numFmtId="193" fontId="42" fillId="0" borderId="0" xfId="10" applyNumberFormat="1" applyFont="1"/>
    <xf numFmtId="0" fontId="41" fillId="0" borderId="8" xfId="10" applyBorder="1"/>
    <xf numFmtId="189" fontId="41" fillId="0" borderId="8" xfId="10" applyNumberFormat="1" applyBorder="1"/>
    <xf numFmtId="188" fontId="42" fillId="13" borderId="0" xfId="10" applyNumberFormat="1" applyFont="1" applyFill="1"/>
    <xf numFmtId="194" fontId="42" fillId="0" borderId="0" xfId="10" applyNumberFormat="1" applyFont="1"/>
    <xf numFmtId="187" fontId="2" fillId="0" borderId="22" xfId="10" applyNumberFormat="1" applyFont="1" applyBorder="1"/>
    <xf numFmtId="191" fontId="2" fillId="0" borderId="22" xfId="10" applyNumberFormat="1" applyFont="1" applyBorder="1"/>
    <xf numFmtId="183" fontId="7" fillId="0" borderId="0" xfId="10" applyNumberFormat="1" applyFont="1"/>
    <xf numFmtId="0" fontId="0" fillId="0" borderId="0" xfId="0" applyAlignment="1">
      <alignment horizontal="left" vertical="center" indent="1"/>
    </xf>
    <xf numFmtId="0" fontId="41" fillId="0" borderId="1" xfId="10" applyBorder="1" applyAlignment="1">
      <alignment horizontal="left"/>
    </xf>
    <xf numFmtId="0" fontId="41" fillId="0" borderId="24" xfId="10" applyBorder="1" applyAlignment="1">
      <alignment horizontal="left"/>
    </xf>
    <xf numFmtId="0" fontId="41" fillId="0" borderId="0" xfId="10" applyAlignment="1">
      <alignment horizontal="left"/>
    </xf>
    <xf numFmtId="0" fontId="41" fillId="0" borderId="25" xfId="10" applyBorder="1" applyAlignment="1">
      <alignment horizontal="left"/>
    </xf>
    <xf numFmtId="0" fontId="41" fillId="0" borderId="2" xfId="10" applyBorder="1" applyAlignment="1">
      <alignment horizontal="left"/>
    </xf>
    <xf numFmtId="0" fontId="41" fillId="0" borderId="26" xfId="10" applyBorder="1" applyAlignment="1">
      <alignment horizontal="left"/>
    </xf>
    <xf numFmtId="0" fontId="41" fillId="0" borderId="27" xfId="10" applyBorder="1" applyAlignment="1">
      <alignment horizontal="left"/>
    </xf>
    <xf numFmtId="0" fontId="41" fillId="0" borderId="28" xfId="10" applyBorder="1" applyAlignment="1">
      <alignment horizontal="left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41" fillId="0" borderId="31" xfId="10" applyBorder="1"/>
    <xf numFmtId="0" fontId="41" fillId="0" borderId="32" xfId="10" applyBorder="1"/>
    <xf numFmtId="0" fontId="3" fillId="0" borderId="30" xfId="10" applyFont="1" applyBorder="1"/>
    <xf numFmtId="0" fontId="3" fillId="0" borderId="32" xfId="0" applyFont="1" applyBorder="1" applyAlignment="1">
      <alignment horizontal="left" vertical="center" indent="1"/>
    </xf>
    <xf numFmtId="0" fontId="3" fillId="0" borderId="3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41" fillId="0" borderId="9" xfId="10" applyBorder="1"/>
    <xf numFmtId="0" fontId="41" fillId="0" borderId="34" xfId="10" applyBorder="1"/>
    <xf numFmtId="190" fontId="41" fillId="0" borderId="0" xfId="10" applyNumberFormat="1"/>
    <xf numFmtId="187" fontId="42" fillId="0" borderId="8" xfId="10" applyNumberFormat="1" applyFont="1" applyBorder="1"/>
    <xf numFmtId="189" fontId="47" fillId="0" borderId="9" xfId="10" applyNumberFormat="1" applyFont="1" applyBorder="1"/>
    <xf numFmtId="189" fontId="41" fillId="0" borderId="9" xfId="10" applyNumberFormat="1" applyBorder="1"/>
    <xf numFmtId="183" fontId="42" fillId="0" borderId="9" xfId="10" applyNumberFormat="1" applyFont="1" applyBorder="1"/>
    <xf numFmtId="187" fontId="42" fillId="0" borderId="9" xfId="10" applyNumberFormat="1" applyFont="1" applyBorder="1"/>
    <xf numFmtId="188" fontId="42" fillId="0" borderId="8" xfId="10" applyNumberFormat="1" applyFont="1" applyBorder="1"/>
    <xf numFmtId="0" fontId="0" fillId="0" borderId="35" xfId="0" applyBorder="1"/>
    <xf numFmtId="0" fontId="41" fillId="0" borderId="36" xfId="10" applyBorder="1"/>
    <xf numFmtId="0" fontId="41" fillId="0" borderId="37" xfId="10" applyBorder="1"/>
    <xf numFmtId="0" fontId="41" fillId="0" borderId="38" xfId="10" applyBorder="1"/>
    <xf numFmtId="0" fontId="41" fillId="0" borderId="39" xfId="10" applyBorder="1"/>
    <xf numFmtId="0" fontId="41" fillId="0" borderId="19" xfId="10" applyBorder="1"/>
    <xf numFmtId="0" fontId="41" fillId="0" borderId="40" xfId="10" applyBorder="1"/>
    <xf numFmtId="0" fontId="16" fillId="2" borderId="0" xfId="2" applyFont="1" applyFill="1" applyAlignment="1">
      <alignment horizontal="center"/>
    </xf>
    <xf numFmtId="0" fontId="3" fillId="0" borderId="0" xfId="2" applyFont="1" applyAlignment="1">
      <alignment horizontal="center"/>
    </xf>
    <xf numFmtId="43" fontId="23" fillId="9" borderId="0" xfId="5" applyNumberFormat="1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2" fillId="2" borderId="20" xfId="0" applyFont="1" applyFill="1" applyBorder="1" applyAlignment="1">
      <alignment horizontal="center"/>
    </xf>
    <xf numFmtId="0" fontId="16" fillId="23" borderId="0" xfId="11" applyFont="1" applyFill="1"/>
    <xf numFmtId="0" fontId="22" fillId="0" borderId="0" xfId="11" applyFont="1"/>
    <xf numFmtId="0" fontId="58" fillId="24" borderId="0" xfId="11" applyFont="1" applyFill="1"/>
    <xf numFmtId="0" fontId="16" fillId="24" borderId="0" xfId="11" applyFont="1" applyFill="1"/>
    <xf numFmtId="0" fontId="59" fillId="24" borderId="0" xfId="11" applyFont="1" applyFill="1"/>
    <xf numFmtId="0" fontId="15" fillId="7" borderId="0" xfId="11" applyFont="1" applyFill="1"/>
    <xf numFmtId="0" fontId="15" fillId="0" borderId="0" xfId="11" applyFont="1"/>
    <xf numFmtId="0" fontId="23" fillId="24" borderId="0" xfId="11" applyFont="1" applyFill="1"/>
    <xf numFmtId="0" fontId="15" fillId="24" borderId="0" xfId="11" applyFont="1" applyFill="1"/>
    <xf numFmtId="0" fontId="60" fillId="22" borderId="41" xfId="11" applyFont="1" applyFill="1" applyBorder="1" applyAlignment="1">
      <alignment horizontal="left" vertical="center" indent="1"/>
    </xf>
    <xf numFmtId="196" fontId="61" fillId="22" borderId="0" xfId="11" applyNumberFormat="1" applyFont="1" applyFill="1" applyAlignment="1">
      <alignment horizontal="left" vertical="center" indent="1"/>
    </xf>
    <xf numFmtId="0" fontId="62" fillId="22" borderId="0" xfId="11" applyFont="1" applyFill="1" applyAlignment="1">
      <alignment horizontal="left" vertical="top" indent="1"/>
    </xf>
    <xf numFmtId="0" fontId="15" fillId="23" borderId="0" xfId="11" applyFont="1" applyFill="1"/>
    <xf numFmtId="0" fontId="63" fillId="24" borderId="0" xfId="11" applyFont="1" applyFill="1"/>
    <xf numFmtId="1" fontId="63" fillId="24" borderId="0" xfId="11" applyNumberFormat="1" applyFont="1" applyFill="1" applyAlignment="1">
      <alignment horizontal="right"/>
    </xf>
    <xf numFmtId="0" fontId="64" fillId="0" borderId="0" xfId="11" applyFont="1" applyAlignment="1">
      <alignment horizontal="left"/>
    </xf>
    <xf numFmtId="0" fontId="65" fillId="0" borderId="0" xfId="11" applyFont="1" applyAlignment="1">
      <alignment horizontal="left" indent="1"/>
    </xf>
    <xf numFmtId="196" fontId="22" fillId="0" borderId="0" xfId="11" applyNumberFormat="1" applyFont="1" applyAlignment="1">
      <alignment horizontal="right"/>
    </xf>
    <xf numFmtId="0" fontId="23" fillId="21" borderId="0" xfId="11" applyFont="1" applyFill="1"/>
    <xf numFmtId="0" fontId="15" fillId="21" borderId="0" xfId="11" applyFont="1" applyFill="1"/>
    <xf numFmtId="0" fontId="62" fillId="0" borderId="0" xfId="11" applyFont="1"/>
    <xf numFmtId="195" fontId="15" fillId="0" borderId="0" xfId="11" applyNumberFormat="1" applyFont="1"/>
    <xf numFmtId="195" fontId="15" fillId="7" borderId="0" xfId="11" applyNumberFormat="1" applyFont="1" applyFill="1"/>
    <xf numFmtId="0" fontId="22" fillId="7" borderId="0" xfId="11" applyFont="1" applyFill="1"/>
    <xf numFmtId="197" fontId="15" fillId="0" borderId="0" xfId="2" applyNumberFormat="1" applyFont="1"/>
    <xf numFmtId="175" fontId="61" fillId="22" borderId="0" xfId="11" applyNumberFormat="1" applyFont="1" applyFill="1" applyAlignment="1">
      <alignment horizontal="left" vertical="center" indent="1"/>
    </xf>
    <xf numFmtId="0" fontId="15" fillId="2" borderId="0" xfId="11" applyFont="1" applyFill="1"/>
    <xf numFmtId="0" fontId="66" fillId="24" borderId="0" xfId="11" applyFont="1" applyFill="1"/>
  </cellXfs>
  <cellStyles count="12">
    <cellStyle name="Accent6 2" xfId="5" xr:uid="{BA09F0F7-6D71-4482-9BE9-ABD7461D1C44}"/>
    <cellStyle name="Comma 2" xfId="4" xr:uid="{E0505FAE-EB46-4E26-A1E9-565AC467B0FA}"/>
    <cellStyle name="Hyperlink 2" xfId="9" xr:uid="{B42FEA94-357B-47CD-92D1-C13F8D5327D5}"/>
    <cellStyle name="Normal" xfId="0" builtinId="0"/>
    <cellStyle name="Normal 2" xfId="2" xr:uid="{730F18AB-50D1-48E8-B308-90308ABADAC0}"/>
    <cellStyle name="Normal 2 2" xfId="7" xr:uid="{98313090-DD43-4844-8E3F-C7A494E6D1ED}"/>
    <cellStyle name="Normal 3" xfId="6" xr:uid="{722CBA77-6FAE-4DB0-A601-D417C0D5502F}"/>
    <cellStyle name="Normal 4" xfId="10" xr:uid="{4DB55A88-BF60-4C7C-BD08-33F5052F8E22}"/>
    <cellStyle name="Normal 5" xfId="11" xr:uid="{E9BC14E0-F3DE-423A-8307-FF963D134D82}"/>
    <cellStyle name="Percent" xfId="1" builtinId="5"/>
    <cellStyle name="Percent 2" xfId="3" xr:uid="{461D56BE-FBC3-46A3-98A4-82B7D2ABEA79}"/>
    <cellStyle name="Percent 3" xfId="8" xr:uid="{F7BC128F-D9A3-46B8-ABC9-6FC66D1F7B1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Total Revenue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Dashboard!$C$17:$G$17</c:f>
              <c:numCache>
                <c:formatCode>"₹"\ #,##0.0;\ \(#,##0\)</c:formatCode>
                <c:ptCount val="5"/>
                <c:pt idx="0">
                  <c:v>178650</c:v>
                </c:pt>
                <c:pt idx="1">
                  <c:v>196517.57142857142</c:v>
                </c:pt>
                <c:pt idx="2">
                  <c:v>211540.49999999997</c:v>
                </c:pt>
                <c:pt idx="3">
                  <c:v>226563.42857142855</c:v>
                </c:pt>
                <c:pt idx="4">
                  <c:v>241586.35714285713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A-4FFB-BC0B-C79B8ADC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844657"/>
        <c:axId val="39540099"/>
      </c:barChart>
      <c:catAx>
        <c:axId val="95844657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  <a:ea typeface="+mn-ea"/>
                <a:cs typeface="+mn-cs"/>
              </a:defRPr>
            </a:pPr>
            <a:endParaRPr lang="en-US"/>
          </a:p>
        </c:txPr>
        <c:crossAx val="39540099"/>
        <c:crosses val="autoZero"/>
        <c:auto val="1"/>
        <c:lblAlgn val="ctr"/>
        <c:lblOffset val="100"/>
        <c:noMultiLvlLbl val="0"/>
      </c:catAx>
      <c:valAx>
        <c:axId val="39540099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  <a:ea typeface="+mn-ea"/>
                <a:cs typeface="+mn-cs"/>
              </a:defRPr>
            </a:pPr>
            <a:endParaRPr lang="en-US"/>
          </a:p>
        </c:txPr>
        <c:crossAx val="95844657"/>
        <c:crosses val="autoZero"/>
        <c:crossBetween val="between"/>
      </c:valAx>
      <c:spPr>
        <a:solidFill>
          <a:srgbClr val="FFFFFF"/>
        </a:solidFill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Dashboard!$C$19:$G$19</c:f>
              <c:numCache>
                <c:formatCode>"₹"\ #,##0.0;\ \(#,##0\)</c:formatCode>
                <c:ptCount val="5"/>
                <c:pt idx="0">
                  <c:v>42280</c:v>
                </c:pt>
                <c:pt idx="1">
                  <c:v>46055.000000000007</c:v>
                </c:pt>
                <c:pt idx="2">
                  <c:v>49185.964285714239</c:v>
                </c:pt>
                <c:pt idx="3">
                  <c:v>52316.928571428558</c:v>
                </c:pt>
                <c:pt idx="4">
                  <c:v>55447.892857142848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3A5-A8D9-3272AABF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374790"/>
        <c:axId val="13288734"/>
      </c:barChart>
      <c:catAx>
        <c:axId val="7374790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13288734"/>
        <c:crosses val="autoZero"/>
        <c:auto val="1"/>
        <c:lblAlgn val="ctr"/>
        <c:lblOffset val="100"/>
        <c:noMultiLvlLbl val="0"/>
      </c:catAx>
      <c:valAx>
        <c:axId val="13288734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73747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Net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0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Dashboard!$C$21:$G$21</c:f>
              <c:numCache>
                <c:formatCode>0.0%;\(0.0%\);\-</c:formatCode>
                <c:ptCount val="5"/>
                <c:pt idx="0">
                  <c:v>0.14800447802966696</c:v>
                </c:pt>
                <c:pt idx="1">
                  <c:v>0.14160929266230651</c:v>
                </c:pt>
                <c:pt idx="2">
                  <c:v>0.14022323317351906</c:v>
                </c:pt>
                <c:pt idx="3">
                  <c:v>0.13902098686964981</c:v>
                </c:pt>
                <c:pt idx="4">
                  <c:v>0.13796826275372095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7-4D8E-9C57-BF3FF1EE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893772"/>
        <c:axId val="23674543"/>
      </c:lineChart>
      <c:catAx>
        <c:axId val="9589377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23674543"/>
        <c:crosses val="autoZero"/>
        <c:auto val="1"/>
        <c:lblAlgn val="ctr"/>
        <c:lblOffset val="100"/>
        <c:noMultiLvlLbl val="0"/>
      </c:catAx>
      <c:valAx>
        <c:axId val="23674543"/>
        <c:scaling>
          <c:orientation val="minMax"/>
        </c:scaling>
        <c:delete val="0"/>
        <c:axPos val="l"/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95893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Cash from Operations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Dashboard!$C$22:$G$22</c:f>
              <c:numCache>
                <c:formatCode>"₹"\ #,##0.0;\ \(#,##0\)</c:formatCode>
                <c:ptCount val="5"/>
                <c:pt idx="0">
                  <c:v>33986</c:v>
                </c:pt>
                <c:pt idx="1">
                  <c:v>36954.714285714297</c:v>
                </c:pt>
                <c:pt idx="2">
                  <c:v>39434.551020408158</c:v>
                </c:pt>
                <c:pt idx="3">
                  <c:v>43147.33527696794</c:v>
                </c:pt>
                <c:pt idx="4">
                  <c:v>46949.203248646416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6-4157-BEA1-587B80B84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6079746"/>
        <c:axId val="25861813"/>
      </c:barChart>
      <c:catAx>
        <c:axId val="26079746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  <a:ea typeface="+mn-ea"/>
                <a:cs typeface="+mn-cs"/>
              </a:defRPr>
            </a:pPr>
            <a:endParaRPr lang="en-US"/>
          </a:p>
        </c:txPr>
        <c:crossAx val="25861813"/>
        <c:crosses val="autoZero"/>
        <c:auto val="1"/>
        <c:lblAlgn val="ctr"/>
        <c:lblOffset val="100"/>
        <c:noMultiLvlLbl val="0"/>
      </c:catAx>
      <c:valAx>
        <c:axId val="25861813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  <a:ea typeface="+mn-ea"/>
                <a:cs typeface="+mn-cs"/>
              </a:defRPr>
            </a:pPr>
            <a:endParaRPr lang="en-US"/>
          </a:p>
        </c:txPr>
        <c:crossAx val="26079746"/>
        <c:crosses val="autoZero"/>
        <c:crossBetween val="between"/>
      </c:valAx>
      <c:spPr>
        <a:solidFill>
          <a:srgbClr val="FFFFFF"/>
        </a:solidFill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Dashboard!$C$20:$G$20</c:f>
              <c:numCache>
                <c:formatCode>"₹"\ #,##0.0;\ \(#,##0\)</c:formatCode>
                <c:ptCount val="5"/>
                <c:pt idx="0">
                  <c:v>26441</c:v>
                </c:pt>
                <c:pt idx="1">
                  <c:v>27828.714285714297</c:v>
                </c:pt>
                <c:pt idx="2">
                  <c:v>29662.892857142808</c:v>
                </c:pt>
                <c:pt idx="3">
                  <c:v>31497.071428571413</c:v>
                </c:pt>
                <c:pt idx="4">
                  <c:v>33331.249999999985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D-452B-A5C2-1E0990BA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829341"/>
        <c:axId val="77159349"/>
      </c:barChart>
      <c:catAx>
        <c:axId val="1282934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77159349"/>
        <c:crosses val="autoZero"/>
        <c:auto val="1"/>
        <c:lblAlgn val="ctr"/>
        <c:lblOffset val="100"/>
        <c:noMultiLvlLbl val="0"/>
      </c:catAx>
      <c:valAx>
        <c:axId val="77159349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128293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Revenue -&gt; Net Income Bridge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Dashboard!$B$100:$B$106</c:f>
              <c:strCache>
                <c:ptCount val="7"/>
                <c:pt idx="0">
                  <c:v>Revenue</c:v>
                </c:pt>
                <c:pt idx="1">
                  <c:v>Less: COGS</c:v>
                </c:pt>
                <c:pt idx="2">
                  <c:v>Gross Profit</c:v>
                </c:pt>
                <c:pt idx="3">
                  <c:v>Less: OpEx</c:v>
                </c:pt>
                <c:pt idx="4">
                  <c:v>EBITDA</c:v>
                </c:pt>
                <c:pt idx="5">
                  <c:v>Less: D&amp;A/Int/Tax</c:v>
                </c:pt>
                <c:pt idx="6">
                  <c:v>Net Income</c:v>
                </c:pt>
              </c:strCache>
            </c:strRef>
          </c:cat>
          <c:val>
            <c:numRef>
              <c:f>Dashboard!$C$100:$C$106</c:f>
              <c:numCache>
                <c:formatCode>"₹"\ #,##0.0;\ \("₹"\ #,##0\)</c:formatCode>
                <c:ptCount val="7"/>
                <c:pt idx="0">
                  <c:v>0</c:v>
                </c:pt>
                <c:pt idx="1">
                  <c:v>68844.285714285681</c:v>
                </c:pt>
                <c:pt idx="2">
                  <c:v>0</c:v>
                </c:pt>
                <c:pt idx="3">
                  <c:v>58578.857142857109</c:v>
                </c:pt>
                <c:pt idx="4">
                  <c:v>0</c:v>
                </c:pt>
                <c:pt idx="5">
                  <c:v>35165.428571428536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E-46D3-B709-F7CA42B6EBC2}"/>
            </c:ext>
          </c:extLst>
        </c:ser>
        <c:ser>
          <c:idx val="1"/>
          <c:order val="1"/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C95E-46D3-B709-F7CA42B6EBC2}"/>
              </c:ext>
            </c:extLst>
          </c:dPt>
          <c:dPt>
            <c:idx val="1"/>
            <c:invertIfNegative val="0"/>
            <c:bubble3D val="0"/>
            <c:spPr>
              <a:solidFill>
                <a:srgbClr val="40404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C95E-46D3-B709-F7CA42B6EBC2}"/>
              </c:ext>
            </c:extLst>
          </c:dPt>
          <c:dPt>
            <c:idx val="2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C95E-46D3-B709-F7CA42B6EBC2}"/>
              </c:ext>
            </c:extLst>
          </c:dPt>
          <c:dPt>
            <c:idx val="3"/>
            <c:invertIfNegative val="0"/>
            <c:bubble3D val="0"/>
            <c:spPr>
              <a:solidFill>
                <a:srgbClr val="40404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C95E-46D3-B709-F7CA42B6EBC2}"/>
              </c:ext>
            </c:extLst>
          </c:dPt>
          <c:dPt>
            <c:idx val="4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C95E-46D3-B709-F7CA42B6EBC2}"/>
              </c:ext>
            </c:extLst>
          </c:dPt>
          <c:dPt>
            <c:idx val="5"/>
            <c:invertIfNegative val="0"/>
            <c:bubble3D val="0"/>
            <c:spPr>
              <a:solidFill>
                <a:srgbClr val="40404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C95E-46D3-B709-F7CA42B6EBC2}"/>
              </c:ext>
            </c:extLst>
          </c:dPt>
          <c:dPt>
            <c:idx val="6"/>
            <c:invertIfNegative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C95E-46D3-B709-F7CA42B6EBC2}"/>
              </c:ext>
            </c:extLst>
          </c:dPt>
          <c:dLbls>
            <c:dLbl>
              <c:idx val="0"/>
              <c:layout>
                <c:manualLayout>
                  <c:x val="0"/>
                  <c:y val="-0.23885995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5E-46D3-B709-F7CA42B6EBC2}"/>
                </c:ext>
              </c:extLst>
            </c:dLbl>
            <c:dLbl>
              <c:idx val="1"/>
              <c:layout>
                <c:manualLayout>
                  <c:x val="0"/>
                  <c:y val="-0.183738425925925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5E-46D3-B709-F7CA42B6EBC2}"/>
                </c:ext>
              </c:extLst>
            </c:dLbl>
            <c:dLbl>
              <c:idx val="2"/>
              <c:layout>
                <c:manualLayout>
                  <c:x val="-4.3743780042435959E-17"/>
                  <c:y val="-8.26822916666667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5E-46D3-B709-F7CA42B6EBC2}"/>
                </c:ext>
              </c:extLst>
            </c:dLbl>
            <c:dLbl>
              <c:idx val="3"/>
              <c:layout>
                <c:manualLayout>
                  <c:x val="0"/>
                  <c:y val="-5.05280671296296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5E-46D3-B709-F7CA42B6EBC2}"/>
                </c:ext>
              </c:extLst>
            </c:dLbl>
            <c:dLbl>
              <c:idx val="4"/>
              <c:layout>
                <c:manualLayout>
                  <c:x val="0"/>
                  <c:y val="-7.34953703703703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5E-46D3-B709-F7CA42B6EBC2}"/>
                </c:ext>
              </c:extLst>
            </c:dLbl>
            <c:dLbl>
              <c:idx val="5"/>
              <c:layout>
                <c:manualLayout>
                  <c:x val="0"/>
                  <c:y val="-5.97149884259259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5E-46D3-B709-F7CA42B6EBC2}"/>
                </c:ext>
              </c:extLst>
            </c:dLbl>
            <c:dLbl>
              <c:idx val="6"/>
              <c:layout>
                <c:manualLayout>
                  <c:x val="0"/>
                  <c:y val="-5.97149884259260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5E-46D3-B709-F7CA42B6EBC2}"/>
                </c:ext>
              </c:extLst>
            </c:dLbl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Dashboard!$B$100:$B$106</c:f>
              <c:strCache>
                <c:ptCount val="7"/>
                <c:pt idx="0">
                  <c:v>Revenue</c:v>
                </c:pt>
                <c:pt idx="1">
                  <c:v>Less: COGS</c:v>
                </c:pt>
                <c:pt idx="2">
                  <c:v>Gross Profit</c:v>
                </c:pt>
                <c:pt idx="3">
                  <c:v>Less: OpEx</c:v>
                </c:pt>
                <c:pt idx="4">
                  <c:v>EBITDA</c:v>
                </c:pt>
                <c:pt idx="5">
                  <c:v>Less: D&amp;A/Int/Tax</c:v>
                </c:pt>
                <c:pt idx="6">
                  <c:v>Net Income</c:v>
                </c:pt>
              </c:strCache>
            </c:strRef>
          </c:cat>
          <c:val>
            <c:numRef>
              <c:f>Dashboard!$D$100:$D$106</c:f>
              <c:numCache>
                <c:formatCode>"₹"\ #,##0.0;\ \("₹"\ #,##0\)</c:formatCode>
                <c:ptCount val="7"/>
                <c:pt idx="0">
                  <c:v>256609.28571428568</c:v>
                </c:pt>
                <c:pt idx="1">
                  <c:v>187765</c:v>
                </c:pt>
                <c:pt idx="2">
                  <c:v>68844.285714285681</c:v>
                </c:pt>
                <c:pt idx="3">
                  <c:v>10265.428571428572</c:v>
                </c:pt>
                <c:pt idx="4">
                  <c:v>58578.857142857109</c:v>
                </c:pt>
                <c:pt idx="5">
                  <c:v>23413.428571428572</c:v>
                </c:pt>
                <c:pt idx="6">
                  <c:v>35165.428571428536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95E-46D3-B709-F7CA42B6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4421471"/>
        <c:axId val="20761419"/>
      </c:barChart>
      <c:catAx>
        <c:axId val="544214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20761419"/>
        <c:crosses val="autoZero"/>
        <c:auto val="1"/>
        <c:lblAlgn val="ctr"/>
        <c:lblOffset val="100"/>
        <c:noMultiLvlLbl val="0"/>
      </c:catAx>
      <c:valAx>
        <c:axId val="20761419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544214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300" b="1" u="none" strike="noStrike">
                <a:solidFill>
                  <a:schemeClr val="accent1"/>
                </a:solidFill>
                <a:uFillTx/>
                <a:latin typeface="Arial"/>
              </a:rPr>
              <a:t>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Dashboard!$C$16:$G$16</c:f>
              <c:numCache>
                <c:formatCode>0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Dashboard!$C$18:$G$18</c:f>
              <c:numCache>
                <c:formatCode>"₹"\ #,##0.0;\ \(#,##0\)</c:formatCode>
                <c:ptCount val="5"/>
                <c:pt idx="0">
                  <c:v>50393</c:v>
                </c:pt>
                <c:pt idx="1">
                  <c:v>54401.42857142858</c:v>
                </c:pt>
                <c:pt idx="2">
                  <c:v>58012.142857142811</c:v>
                </c:pt>
                <c:pt idx="3">
                  <c:v>61622.85714285713</c:v>
                </c:pt>
                <c:pt idx="4">
                  <c:v>65233.57142857142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5-478B-834B-D111C055C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844657"/>
        <c:axId val="39540099"/>
      </c:barChart>
      <c:catAx>
        <c:axId val="95844657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39540099"/>
        <c:crosses val="autoZero"/>
        <c:auto val="1"/>
        <c:lblAlgn val="ctr"/>
        <c:lblOffset val="100"/>
        <c:noMultiLvlLbl val="0"/>
      </c:catAx>
      <c:valAx>
        <c:axId val="39540099"/>
        <c:scaling>
          <c:orientation val="minMax"/>
        </c:scaling>
        <c:delete val="0"/>
        <c:axPos val="l"/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chemeClr val="tx1">
                    <a:lumMod val="75000"/>
                    <a:lumOff val="25000"/>
                  </a:schemeClr>
                </a:solidFill>
                <a:uFillTx/>
                <a:latin typeface="Arial"/>
              </a:defRPr>
            </a:pPr>
            <a:endParaRPr lang="en-US"/>
          </a:p>
        </c:txPr>
        <c:crossAx val="958446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Forecasting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'Forecasted Key Drivers'!$D$3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'Forecasted Key Drivers'!$C$4:$C$15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Drivers'!$D$4:$D$15</c:f>
              <c:numCache>
                <c:formatCode>#,##0.00;\(#,##0.00\);\-</c:formatCode>
                <c:ptCount val="12"/>
                <c:pt idx="0">
                  <c:v>90791</c:v>
                </c:pt>
                <c:pt idx="1">
                  <c:v>100472</c:v>
                </c:pt>
                <c:pt idx="2">
                  <c:v>121641</c:v>
                </c:pt>
                <c:pt idx="3">
                  <c:v>146767</c:v>
                </c:pt>
                <c:pt idx="4">
                  <c:v>153670</c:v>
                </c:pt>
                <c:pt idx="5">
                  <c:v>162990</c:v>
                </c:pt>
                <c:pt idx="6">
                  <c:v>178650</c:v>
                </c:pt>
                <c:pt idx="7">
                  <c:v>196517.57142857142</c:v>
                </c:pt>
                <c:pt idx="8">
                  <c:v>211540.49999999997</c:v>
                </c:pt>
                <c:pt idx="9">
                  <c:v>226563.42857142855</c:v>
                </c:pt>
                <c:pt idx="10">
                  <c:v>241586.35714285713</c:v>
                </c:pt>
                <c:pt idx="11">
                  <c:v>256609.28571428568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0-4F9B-9FD6-608B8A358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156047"/>
        <c:axId val="2067157007"/>
      </c:barChart>
      <c:lineChart>
        <c:grouping val="standard"/>
        <c:varyColors val="0"/>
        <c:ser>
          <c:idx val="1"/>
          <c:order val="1"/>
          <c:tx>
            <c:strRef>
              <c:f>'Forecasted Key Drivers'!$E$3</c:f>
              <c:strCache>
                <c:ptCount val="1"/>
                <c:pt idx="0">
                  <c:v>Sales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'Forecasted Key Drivers'!$C$4:$C$15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Drivers'!$E$4:$E$15</c:f>
              <c:numCache>
                <c:formatCode>0.00%</c:formatCode>
                <c:ptCount val="12"/>
                <c:pt idx="1">
                  <c:v>0.10662951173574475</c:v>
                </c:pt>
                <c:pt idx="2">
                  <c:v>0.21069551715900947</c:v>
                </c:pt>
                <c:pt idx="3">
                  <c:v>0.20655864387829759</c:v>
                </c:pt>
                <c:pt idx="4">
                  <c:v>4.7033733741236095E-2</c:v>
                </c:pt>
                <c:pt idx="5">
                  <c:v>6.0649443612936782E-2</c:v>
                </c:pt>
                <c:pt idx="6">
                  <c:v>9.6079514080618544E-2</c:v>
                </c:pt>
                <c:pt idx="7">
                  <c:v>0.10001439366678655</c:v>
                </c:pt>
                <c:pt idx="8">
                  <c:v>7.6445726772524036E-2</c:v>
                </c:pt>
                <c:pt idx="9">
                  <c:v>7.1016796175808361E-2</c:v>
                </c:pt>
                <c:pt idx="10">
                  <c:v>6.6307826758069677E-2</c:v>
                </c:pt>
                <c:pt idx="11">
                  <c:v>6.2184507225898633E-2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0-4F9B-9FD6-608B8A358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154799"/>
        <c:axId val="1941153839"/>
      </c:lineChart>
      <c:dateAx>
        <c:axId val="2067156047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57007"/>
        <c:crosses val="autoZero"/>
        <c:auto val="1"/>
        <c:lblOffset val="100"/>
        <c:baseTimeUnit val="years"/>
      </c:dateAx>
      <c:valAx>
        <c:axId val="20671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56047"/>
        <c:crosses val="autoZero"/>
        <c:crossBetween val="between"/>
      </c:valAx>
      <c:valAx>
        <c:axId val="1941153839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154799"/>
        <c:crosses val="max"/>
        <c:crossBetween val="between"/>
      </c:valAx>
      <c:dateAx>
        <c:axId val="1941154799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1941153839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'Forecasted Key Drivers'!$I$3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'Forecasted Key Drivers'!$H$4:$H$15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Drivers'!$I$4:$I$15</c:f>
              <c:numCache>
                <c:formatCode>#,##0.00;\(#,##0.00\);\-</c:formatCode>
                <c:ptCount val="12"/>
                <c:pt idx="0">
                  <c:v>22267</c:v>
                </c:pt>
                <c:pt idx="1">
                  <c:v>27889</c:v>
                </c:pt>
                <c:pt idx="2">
                  <c:v>31491</c:v>
                </c:pt>
                <c:pt idx="3">
                  <c:v>35130</c:v>
                </c:pt>
                <c:pt idx="4">
                  <c:v>36425</c:v>
                </c:pt>
                <c:pt idx="5">
                  <c:v>39236</c:v>
                </c:pt>
                <c:pt idx="6">
                  <c:v>42280</c:v>
                </c:pt>
                <c:pt idx="7">
                  <c:v>46055</c:v>
                </c:pt>
                <c:pt idx="8">
                  <c:v>49185.964285714283</c:v>
                </c:pt>
                <c:pt idx="9">
                  <c:v>52316.928571428565</c:v>
                </c:pt>
                <c:pt idx="10">
                  <c:v>55447.892857142855</c:v>
                </c:pt>
                <c:pt idx="11">
                  <c:v>58578.857142857138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B-423F-B4A3-1D3B69B5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614783"/>
        <c:axId val="1994616223"/>
      </c:barChart>
      <c:lineChart>
        <c:grouping val="standard"/>
        <c:varyColors val="0"/>
        <c:ser>
          <c:idx val="1"/>
          <c:order val="1"/>
          <c:tx>
            <c:strRef>
              <c:f>'Forecasted Key Drivers'!$J$3</c:f>
              <c:strCache>
                <c:ptCount val="1"/>
                <c:pt idx="0">
                  <c:v>EBITDA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'Forecasted Key Drivers'!$H$4:$H$15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Drivers'!$J$4:$J$15</c:f>
              <c:numCache>
                <c:formatCode>0.00%</c:formatCode>
                <c:ptCount val="12"/>
                <c:pt idx="1">
                  <c:v>0.25248125028068436</c:v>
                </c:pt>
                <c:pt idx="2">
                  <c:v>0.12915486392484499</c:v>
                </c:pt>
                <c:pt idx="3">
                  <c:v>0.1155568257597408</c:v>
                </c:pt>
                <c:pt idx="4">
                  <c:v>3.6863079988613823E-2</c:v>
                </c:pt>
                <c:pt idx="5">
                  <c:v>7.7172271791352109E-2</c:v>
                </c:pt>
                <c:pt idx="6">
                  <c:v>7.758181262106234E-2</c:v>
                </c:pt>
                <c:pt idx="7">
                  <c:v>8.9285714285714191E-2</c:v>
                </c:pt>
                <c:pt idx="8">
                  <c:v>6.7983156784589882E-2</c:v>
                </c:pt>
                <c:pt idx="9">
                  <c:v>6.3655645084580437E-2</c:v>
                </c:pt>
                <c:pt idx="10">
                  <c:v>5.9846102804746337E-2</c:v>
                </c:pt>
                <c:pt idx="11">
                  <c:v>5.6466785740279857E-2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B-423F-B4A3-1D3B69B5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170239"/>
        <c:axId val="1994613823"/>
      </c:lineChart>
      <c:dateAx>
        <c:axId val="1994614783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6223"/>
        <c:crosses val="autoZero"/>
        <c:auto val="1"/>
        <c:lblOffset val="100"/>
        <c:baseTimeUnit val="years"/>
      </c:dateAx>
      <c:valAx>
        <c:axId val="19946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4783"/>
        <c:crosses val="autoZero"/>
        <c:crossBetween val="between"/>
      </c:valAx>
      <c:valAx>
        <c:axId val="1994613823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70239"/>
        <c:crosses val="max"/>
        <c:crossBetween val="between"/>
      </c:valAx>
      <c:dateAx>
        <c:axId val="1994170239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1994613823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EPS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'Forecasted Key Drivers'!$N$3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'Forecasted Key Drivers'!$M$4:$M$15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Drivers'!$N$4:$N$15</c:f>
              <c:numCache>
                <c:formatCode>#,##0.00;\(#,##0.00\);\-</c:formatCode>
                <c:ptCount val="12"/>
                <c:pt idx="0">
                  <c:v>32.486499178210849</c:v>
                </c:pt>
                <c:pt idx="1">
                  <c:v>40.420588166263762</c:v>
                </c:pt>
                <c:pt idx="2">
                  <c:v>47.189008011030019</c:v>
                </c:pt>
                <c:pt idx="3">
                  <c:v>51.600539941184977</c:v>
                </c:pt>
                <c:pt idx="4">
                  <c:v>51.885133344575877</c:v>
                </c:pt>
                <c:pt idx="5">
                  <c:v>55.738810102809815</c:v>
                </c:pt>
                <c:pt idx="6">
                  <c:v>65.196271821678664</c:v>
                </c:pt>
                <c:pt idx="7">
                  <c:v>68.282676814685047</c:v>
                </c:pt>
                <c:pt idx="8">
                  <c:v>73.049172783865089</c:v>
                </c:pt>
                <c:pt idx="9">
                  <c:v>77.815668753045145</c:v>
                </c:pt>
                <c:pt idx="10">
                  <c:v>82.582164722225187</c:v>
                </c:pt>
                <c:pt idx="11">
                  <c:v>87.348660691405243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F-4B27-84B2-0F8965CD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169759"/>
        <c:axId val="1994171199"/>
      </c:barChart>
      <c:lineChart>
        <c:grouping val="standard"/>
        <c:varyColors val="0"/>
        <c:ser>
          <c:idx val="1"/>
          <c:order val="1"/>
          <c:tx>
            <c:strRef>
              <c:f>'Forecasted Key Drivers'!$O$3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'Forecasted Key Drivers'!$M$4:$M$15</c:f>
              <c:numCache>
                <c:formatCode>yyyy"A"</c:formatCode>
                <c:ptCount val="12"/>
                <c:pt idx="0">
                  <c:v>43921</c:v>
                </c:pt>
                <c:pt idx="1">
                  <c:v>44286</c:v>
                </c:pt>
                <c:pt idx="2">
                  <c:v>44651</c:v>
                </c:pt>
                <c:pt idx="3">
                  <c:v>45016</c:v>
                </c:pt>
                <c:pt idx="4">
                  <c:v>45381</c:v>
                </c:pt>
                <c:pt idx="5">
                  <c:v>45746</c:v>
                </c:pt>
                <c:pt idx="6">
                  <c:v>46111</c:v>
                </c:pt>
                <c:pt idx="7" formatCode="yyyy&quot;E&quot;">
                  <c:v>46476</c:v>
                </c:pt>
                <c:pt idx="8" formatCode="yyyy&quot;E&quot;">
                  <c:v>46841</c:v>
                </c:pt>
                <c:pt idx="9" formatCode="yyyy&quot;E&quot;">
                  <c:v>47206</c:v>
                </c:pt>
                <c:pt idx="10" formatCode="yyyy&quot;E&quot;">
                  <c:v>47571</c:v>
                </c:pt>
                <c:pt idx="11" formatCode="yyyy&quot;E&quot;">
                  <c:v>47936</c:v>
                </c:pt>
              </c:numCache>
            </c:numRef>
          </c:cat>
          <c:val>
            <c:numRef>
              <c:f>'Forecasted Key Drivers'!$O$4:$O$15</c:f>
              <c:numCache>
                <c:formatCode>0.00%</c:formatCode>
                <c:ptCount val="12"/>
                <c:pt idx="1">
                  <c:v>0.24422726944288353</c:v>
                </c:pt>
                <c:pt idx="2">
                  <c:v>0.16744981089650213</c:v>
                </c:pt>
                <c:pt idx="3">
                  <c:v>9.3486430762091954E-2</c:v>
                </c:pt>
                <c:pt idx="4">
                  <c:v>5.5153183225462588E-3</c:v>
                </c:pt>
                <c:pt idx="5">
                  <c:v>7.4273236085588668E-2</c:v>
                </c:pt>
                <c:pt idx="6">
                  <c:v>0.1696746253001209</c:v>
                </c:pt>
                <c:pt idx="7">
                  <c:v>4.7340206836491427E-2</c:v>
                </c:pt>
                <c:pt idx="8">
                  <c:v>6.9805347293516506E-2</c:v>
                </c:pt>
                <c:pt idx="9">
                  <c:v>6.5250512600368182E-2</c:v>
                </c:pt>
                <c:pt idx="10">
                  <c:v>6.1253678668584444E-2</c:v>
                </c:pt>
                <c:pt idx="11">
                  <c:v>5.7718225057586281E-2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F-4B27-84B2-0F8965CD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155279"/>
        <c:axId val="1941154319"/>
      </c:lineChart>
      <c:dateAx>
        <c:axId val="1994169759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71199"/>
        <c:crosses val="autoZero"/>
        <c:auto val="1"/>
        <c:lblOffset val="100"/>
        <c:baseTimeUnit val="years"/>
      </c:dateAx>
      <c:valAx>
        <c:axId val="1994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69759"/>
        <c:crosses val="autoZero"/>
        <c:crossBetween val="between"/>
      </c:valAx>
      <c:valAx>
        <c:axId val="1941154319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155279"/>
        <c:crosses val="max"/>
        <c:crossBetween val="between"/>
      </c:valAx>
      <c:dateAx>
        <c:axId val="1941155279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1941154319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2060"/>
                </a:solidFill>
              </a:rPr>
              <a:t>Football</a:t>
            </a:r>
            <a:r>
              <a:rPr lang="en-IN" b="1" baseline="0">
                <a:solidFill>
                  <a:srgbClr val="002060"/>
                </a:solidFill>
              </a:rPr>
              <a:t> Field Analysis - Valuation Summary(Rs.)</a:t>
            </a:r>
            <a:endParaRPr lang="en-IN" b="1">
              <a:solidFill>
                <a:srgbClr val="002060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Analysis&gt;'!$K$4:$K$8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 H/L</c:v>
                </c:pt>
              </c:strCache>
            </c:strRef>
          </c:cat>
          <c:val>
            <c:numRef>
              <c:f>'Football Field Analysis&gt;'!$L$4:$L$8</c:f>
              <c:numCache>
                <c:formatCode>#,##0.00;\(#,##0.00\);\-</c:formatCode>
                <c:ptCount val="5"/>
                <c:pt idx="0">
                  <c:v>2083.3277014178088</c:v>
                </c:pt>
                <c:pt idx="1">
                  <c:v>334.42475237824755</c:v>
                </c:pt>
                <c:pt idx="2">
                  <c:v>427.99003260950803</c:v>
                </c:pt>
                <c:pt idx="3">
                  <c:v>507.16809454855439</c:v>
                </c:pt>
                <c:pt idx="4">
                  <c:v>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D3-4B20-9EE7-F2CBF7519E6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70417760279965E-2"/>
                  <c:y val="-3.4756853310002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B5-4A00-B43B-D021516C6AD7}"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Analysis&gt;'!$K$4:$K$8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 H/L</c:v>
                </c:pt>
              </c:strCache>
            </c:strRef>
          </c:cat>
          <c:val>
            <c:numRef>
              <c:f>'Football Field Analysis&gt;'!$M$4:$M$8</c:f>
              <c:numCache>
                <c:formatCode>#,##0.00;\(#,##0.00\);\-</c:formatCode>
                <c:ptCount val="5"/>
                <c:pt idx="0">
                  <c:v>2083.3277014178088</c:v>
                </c:pt>
                <c:pt idx="1">
                  <c:v>334.42475237824755</c:v>
                </c:pt>
                <c:pt idx="2">
                  <c:v>427.99003260950803</c:v>
                </c:pt>
                <c:pt idx="3">
                  <c:v>507.16809454855439</c:v>
                </c:pt>
                <c:pt idx="4">
                  <c:v>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3-4B20-9EE7-F2CBF7519E63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Analysis&gt;'!$K$4:$K$8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 H/L</c:v>
                </c:pt>
              </c:strCache>
            </c:strRef>
          </c:cat>
          <c:val>
            <c:numRef>
              <c:f>'Football Field Analysis&gt;'!$N$4:$N$8</c:f>
              <c:numCache>
                <c:formatCode>#,##0.00;\(#,##0.00\);\-</c:formatCode>
                <c:ptCount val="5"/>
                <c:pt idx="0">
                  <c:v>1538.3758033418321</c:v>
                </c:pt>
                <c:pt idx="1">
                  <c:v>427.72148447048556</c:v>
                </c:pt>
                <c:pt idx="2">
                  <c:v>716.11980676906546</c:v>
                </c:pt>
                <c:pt idx="3">
                  <c:v>1186.3895079827955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D3-4B20-9EE7-F2CBF7519E63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70417760279965E-2"/>
                  <c:y val="2.54975940507436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B5-4A00-B43B-D021516C6AD7}"/>
                </c:ext>
              </c:extLst>
            </c:dLbl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Analysis&gt;'!$K$4:$K$8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 H/L</c:v>
                </c:pt>
              </c:strCache>
            </c:strRef>
          </c:cat>
          <c:val>
            <c:numRef>
              <c:f>'Football Field Analysis&gt;'!$O$4:$O$8</c:f>
              <c:numCache>
                <c:formatCode>#,##0.00;\(#,##0.00\);\-</c:formatCode>
                <c:ptCount val="5"/>
                <c:pt idx="0">
                  <c:v>1538.3758033418321</c:v>
                </c:pt>
                <c:pt idx="1">
                  <c:v>427.72148447048556</c:v>
                </c:pt>
                <c:pt idx="2">
                  <c:v>716.11980676906546</c:v>
                </c:pt>
                <c:pt idx="3">
                  <c:v>1186.3895079827955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D3-4B20-9EE7-F2CBF751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035240384"/>
        <c:axId val="2035239424"/>
      </c:stockChart>
      <c:catAx>
        <c:axId val="20352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39424"/>
        <c:crosses val="autoZero"/>
        <c:auto val="1"/>
        <c:lblAlgn val="ctr"/>
        <c:lblOffset val="100"/>
        <c:noMultiLvlLbl val="0"/>
      </c:catAx>
      <c:valAx>
        <c:axId val="203523942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4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5322600" cy="27644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B7DB5-3063-4982-872C-70FFF652C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43</xdr:row>
      <xdr:rowOff>0</xdr:rowOff>
    </xdr:from>
    <xdr:ext cx="5322600" cy="27644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1DEE5-F819-4C2A-BDCF-0B62A36E7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43</xdr:row>
      <xdr:rowOff>0</xdr:rowOff>
    </xdr:from>
    <xdr:ext cx="5313240" cy="27644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FC28A2-B5E0-4D0F-BFD2-B335FBCF3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61</xdr:row>
      <xdr:rowOff>0</xdr:rowOff>
    </xdr:from>
    <xdr:ext cx="5322600" cy="276444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CDA5B6-599E-49DA-AE2F-9F3861B34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61</xdr:row>
      <xdr:rowOff>0</xdr:rowOff>
    </xdr:from>
    <xdr:ext cx="5313240" cy="276444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BA556A-1FF1-4C07-8AB6-09ABEA1D2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80</xdr:row>
      <xdr:rowOff>0</xdr:rowOff>
    </xdr:from>
    <xdr:ext cx="5322600" cy="27648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88BF43-67AC-473F-88AC-073BF5B22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38100</xdr:colOff>
      <xdr:row>25</xdr:row>
      <xdr:rowOff>38100</xdr:rowOff>
    </xdr:from>
    <xdr:ext cx="5322600" cy="276444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050ED34-E7F9-470B-8631-38880253D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15</xdr:row>
      <xdr:rowOff>129540</xdr:rowOff>
    </xdr:from>
    <xdr:to>
      <xdr:col>4</xdr:col>
      <xdr:colOff>754380</xdr:colOff>
      <xdr:row>30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4CA07-E7F7-4BEF-AD44-280819128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</xdr:colOff>
      <xdr:row>15</xdr:row>
      <xdr:rowOff>152400</xdr:rowOff>
    </xdr:from>
    <xdr:to>
      <xdr:col>10</xdr:col>
      <xdr:colOff>7620</xdr:colOff>
      <xdr:row>30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5A31F2-D1D4-451A-9734-D7D6C576A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91440</xdr:colOff>
      <xdr:row>15</xdr:row>
      <xdr:rowOff>160020</xdr:rowOff>
    </xdr:from>
    <xdr:to>
      <xdr:col>15</xdr:col>
      <xdr:colOff>15240</xdr:colOff>
      <xdr:row>30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B40B74-DA6A-4882-B1B0-8E90C311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49530</xdr:rowOff>
    </xdr:from>
    <xdr:to>
      <xdr:col>8</xdr:col>
      <xdr:colOff>381000</xdr:colOff>
      <xdr:row>16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D48F5C-4B9B-9A1E-875E-D03EBEE03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594360</xdr:colOff>
      <xdr:row>9</xdr:row>
      <xdr:rowOff>106680</xdr:rowOff>
    </xdr:from>
    <xdr:to>
      <xdr:col>8</xdr:col>
      <xdr:colOff>274320</xdr:colOff>
      <xdr:row>9</xdr:row>
      <xdr:rowOff>129540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D6CB771-0A3D-90B4-4D8F-0A545817DE79}"/>
            </a:ext>
          </a:extLst>
        </xdr:cNvPr>
        <xdr:cNvCxnSpPr/>
      </xdr:nvCxnSpPr>
      <xdr:spPr>
        <a:xfrm>
          <a:off x="723900" y="1775460"/>
          <a:ext cx="3947160" cy="22860"/>
        </a:xfrm>
        <a:prstGeom prst="line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ben/Desktop/rareliquid/Excels/2024.0.13%20-%20Burger%20King%20LBO%20Stream%20-%20Part%202%20-%20vSTREAM.xlsx" TargetMode="External"/><Relationship Id="rId1" Type="http://schemas.openxmlformats.org/officeDocument/2006/relationships/externalLinkPath" Target="/Users/ben/Desktop/rareliquid/Excels/2024.0.13%20-%20Burger%20King%20LBO%20Stream%20-%20Part%202%20-%20vSTRE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mis\Downloads\3-statement.xlsx" TargetMode="External"/><Relationship Id="rId1" Type="http://schemas.openxmlformats.org/officeDocument/2006/relationships/externalLinkPath" Target="file:///C:\Users\nimis\Downloads\3-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B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Assumptions"/>
      <sheetName val="Income_Statement"/>
      <sheetName val="Balance_Sheet"/>
      <sheetName val="Cash_Flow"/>
      <sheetName val="Debt_Schedule"/>
      <sheetName val="Ratios"/>
      <sheetName val="Checks"/>
      <sheetName val="Disclaimer"/>
    </sheetNames>
    <sheetDataSet>
      <sheetData sheetId="0"/>
      <sheetData sheetId="1">
        <row r="9">
          <cell r="C9">
            <v>1</v>
          </cell>
        </row>
        <row r="10">
          <cell r="C10">
            <v>2026</v>
          </cell>
        </row>
        <row r="14">
          <cell r="C14">
            <v>50000000</v>
          </cell>
        </row>
        <row r="15">
          <cell r="F15">
            <v>0.12</v>
          </cell>
        </row>
        <row r="16">
          <cell r="F16">
            <v>0.1</v>
          </cell>
        </row>
        <row r="17">
          <cell r="F17">
            <v>0.08</v>
          </cell>
        </row>
        <row r="18">
          <cell r="F18">
            <v>7.0000000000000007E-2</v>
          </cell>
        </row>
        <row r="19">
          <cell r="F19">
            <v>0.06</v>
          </cell>
        </row>
        <row r="21">
          <cell r="C21">
            <v>20000000</v>
          </cell>
        </row>
        <row r="22">
          <cell r="F22">
            <v>0.15</v>
          </cell>
        </row>
        <row r="23">
          <cell r="F23">
            <v>0.13</v>
          </cell>
        </row>
        <row r="24">
          <cell r="F24">
            <v>0.11</v>
          </cell>
        </row>
        <row r="25">
          <cell r="F25">
            <v>0.09</v>
          </cell>
        </row>
        <row r="26">
          <cell r="F26">
            <v>0.08</v>
          </cell>
        </row>
        <row r="28">
          <cell r="C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6">
          <cell r="C36">
            <v>0.35</v>
          </cell>
        </row>
        <row r="37">
          <cell r="C37">
            <v>0.55000000000000004</v>
          </cell>
        </row>
        <row r="38">
          <cell r="C38">
            <v>0.4</v>
          </cell>
        </row>
        <row r="41">
          <cell r="C41">
            <v>0.03</v>
          </cell>
        </row>
        <row r="42">
          <cell r="C42">
            <v>30</v>
          </cell>
        </row>
        <row r="43">
          <cell r="C43">
            <v>110000</v>
          </cell>
        </row>
        <row r="44">
          <cell r="C44">
            <v>0.1</v>
          </cell>
        </row>
        <row r="45">
          <cell r="C45">
            <v>1500000</v>
          </cell>
        </row>
        <row r="46">
          <cell r="C46">
            <v>25</v>
          </cell>
        </row>
        <row r="47">
          <cell r="C47">
            <v>140000</v>
          </cell>
        </row>
        <row r="48">
          <cell r="C48">
            <v>0.12</v>
          </cell>
        </row>
        <row r="49">
          <cell r="C49">
            <v>800000</v>
          </cell>
        </row>
        <row r="50">
          <cell r="C50">
            <v>15</v>
          </cell>
        </row>
        <row r="51">
          <cell r="C51">
            <v>120000</v>
          </cell>
        </row>
        <row r="52">
          <cell r="C52">
            <v>0.05</v>
          </cell>
        </row>
        <row r="53">
          <cell r="C53">
            <v>1200000</v>
          </cell>
        </row>
        <row r="54">
          <cell r="C54">
            <v>7.4999999999999997E-2</v>
          </cell>
        </row>
        <row r="55">
          <cell r="C55">
            <v>0.12</v>
          </cell>
        </row>
        <row r="56">
          <cell r="C56">
            <v>0.02</v>
          </cell>
        </row>
        <row r="57">
          <cell r="F57">
            <v>0.06</v>
          </cell>
        </row>
        <row r="58">
          <cell r="C58">
            <v>2000000</v>
          </cell>
        </row>
        <row r="59">
          <cell r="C59">
            <v>0.03</v>
          </cell>
        </row>
        <row r="60">
          <cell r="C60">
            <v>500000</v>
          </cell>
        </row>
        <row r="61">
          <cell r="C61">
            <v>0.03</v>
          </cell>
        </row>
        <row r="62">
          <cell r="C62">
            <v>1500000</v>
          </cell>
        </row>
        <row r="63">
          <cell r="C63">
            <v>0.04</v>
          </cell>
        </row>
        <row r="66">
          <cell r="F66">
            <v>0.02</v>
          </cell>
        </row>
        <row r="67">
          <cell r="F67">
            <v>2.5000000000000001E-2</v>
          </cell>
        </row>
        <row r="68">
          <cell r="C68">
            <v>10</v>
          </cell>
        </row>
        <row r="69">
          <cell r="C69">
            <v>7</v>
          </cell>
        </row>
        <row r="72">
          <cell r="C72">
            <v>45</v>
          </cell>
        </row>
        <row r="73">
          <cell r="C73">
            <v>30</v>
          </cell>
        </row>
        <row r="74">
          <cell r="C74">
            <v>40</v>
          </cell>
        </row>
        <row r="75">
          <cell r="C75">
            <v>0.08</v>
          </cell>
        </row>
        <row r="76">
          <cell r="C76">
            <v>0.02</v>
          </cell>
        </row>
        <row r="77">
          <cell r="C77">
            <v>1.4999999999999999E-2</v>
          </cell>
        </row>
        <row r="78">
          <cell r="C78">
            <v>1.4999999999999999E-2</v>
          </cell>
        </row>
        <row r="79">
          <cell r="C79">
            <v>0.06</v>
          </cell>
        </row>
        <row r="80">
          <cell r="C80">
            <v>5.0000000000000001E-3</v>
          </cell>
        </row>
        <row r="83">
          <cell r="C83">
            <v>20000000</v>
          </cell>
        </row>
        <row r="84">
          <cell r="C84">
            <v>5.5E-2</v>
          </cell>
        </row>
        <row r="85">
          <cell r="C85">
            <v>7</v>
          </cell>
        </row>
        <row r="86">
          <cell r="C86">
            <v>0</v>
          </cell>
        </row>
        <row r="87">
          <cell r="C87">
            <v>10000000</v>
          </cell>
        </row>
        <row r="88">
          <cell r="C88">
            <v>0</v>
          </cell>
        </row>
        <row r="89">
          <cell r="C89">
            <v>5.0000000000000001E-3</v>
          </cell>
        </row>
        <row r="90">
          <cell r="C90">
            <v>5000000</v>
          </cell>
        </row>
        <row r="91">
          <cell r="C91">
            <v>1.5</v>
          </cell>
        </row>
        <row r="92">
          <cell r="C92">
            <v>3.5</v>
          </cell>
        </row>
        <row r="93">
          <cell r="C93">
            <v>4</v>
          </cell>
        </row>
        <row r="94">
          <cell r="C94">
            <v>3.5000000000000003E-2</v>
          </cell>
        </row>
        <row r="97">
          <cell r="F97">
            <v>0.25</v>
          </cell>
        </row>
        <row r="98">
          <cell r="C98">
            <v>0</v>
          </cell>
        </row>
        <row r="99">
          <cell r="C99">
            <v>0.2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1.4999999999999999E-2</v>
          </cell>
        </row>
        <row r="107">
          <cell r="C107">
            <v>15000000</v>
          </cell>
        </row>
        <row r="108">
          <cell r="C108">
            <v>8630137</v>
          </cell>
        </row>
        <row r="109">
          <cell r="C109">
            <v>2342466</v>
          </cell>
        </row>
        <row r="110">
          <cell r="C110">
            <v>300000</v>
          </cell>
        </row>
        <row r="111">
          <cell r="C111">
            <v>1400000</v>
          </cell>
        </row>
        <row r="112">
          <cell r="C112">
            <v>30000000</v>
          </cell>
        </row>
        <row r="113">
          <cell r="C113">
            <v>10000000</v>
          </cell>
        </row>
        <row r="114">
          <cell r="C114">
            <v>3123288</v>
          </cell>
        </row>
        <row r="115">
          <cell r="C115">
            <v>1800000</v>
          </cell>
        </row>
        <row r="116">
          <cell r="C116">
            <v>4200000</v>
          </cell>
        </row>
        <row r="117">
          <cell r="C117">
            <v>1050000</v>
          </cell>
        </row>
        <row r="118">
          <cell r="C118">
            <v>20000000</v>
          </cell>
        </row>
        <row r="119">
          <cell r="C119">
            <v>25000000</v>
          </cell>
        </row>
        <row r="123">
          <cell r="C123">
            <v>-7500685</v>
          </cell>
        </row>
      </sheetData>
      <sheetData sheetId="2">
        <row r="6">
          <cell r="C6">
            <v>2026</v>
          </cell>
          <cell r="D6">
            <v>2027</v>
          </cell>
          <cell r="E6">
            <v>2028</v>
          </cell>
          <cell r="F6">
            <v>2029</v>
          </cell>
          <cell r="G6">
            <v>2030</v>
          </cell>
        </row>
        <row r="9">
          <cell r="C9">
            <v>56000000.000000007</v>
          </cell>
          <cell r="D9">
            <v>61600000.000000015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5C4F-F29D-4CFA-8E0E-AF2020D5B6C8}">
  <sheetPr>
    <tabColor rgb="FFA5A5A5"/>
  </sheetPr>
  <dimension ref="A1:AD106"/>
  <sheetViews>
    <sheetView showGridLines="0" tabSelected="1" zoomScaleNormal="100" workbookViewId="0">
      <selection activeCell="B13" sqref="B13:C13"/>
    </sheetView>
  </sheetViews>
  <sheetFormatPr defaultColWidth="9.5546875" defaultRowHeight="14.4" x14ac:dyDescent="0.3"/>
  <cols>
    <col min="1" max="1" width="1.88671875" style="462" customWidth="1"/>
    <col min="2" max="2" width="37.77734375" style="440" customWidth="1"/>
    <col min="3" max="9" width="14.44140625" style="440" customWidth="1"/>
    <col min="10" max="16384" width="9.5546875" style="440"/>
  </cols>
  <sheetData>
    <row r="1" spans="1:30" x14ac:dyDescent="0.3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</row>
    <row r="2" spans="1:30" ht="21.75" customHeight="1" x14ac:dyDescent="0.45">
      <c r="A2" s="439"/>
      <c r="B2" s="441" t="s">
        <v>603</v>
      </c>
      <c r="C2" s="442"/>
      <c r="D2" s="442"/>
      <c r="E2" s="442"/>
      <c r="F2" s="442"/>
      <c r="G2" s="442"/>
      <c r="H2" s="442"/>
      <c r="I2" s="442"/>
      <c r="J2" s="442"/>
      <c r="K2" s="442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</row>
    <row r="3" spans="1:30" ht="15.75" customHeight="1" x14ac:dyDescent="0.3">
      <c r="A3" s="439"/>
      <c r="B3" s="443" t="s">
        <v>602</v>
      </c>
      <c r="C3" s="442"/>
      <c r="D3" s="466" t="s">
        <v>605</v>
      </c>
      <c r="E3" s="442"/>
      <c r="F3" s="442"/>
      <c r="G3" s="442"/>
      <c r="H3" s="442"/>
      <c r="I3" s="442"/>
      <c r="J3" s="442"/>
      <c r="K3" s="442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</row>
    <row r="4" spans="1:30" ht="3.6" customHeight="1" x14ac:dyDescent="0.3">
      <c r="A4" s="444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</row>
    <row r="5" spans="1:30" ht="15" thickBot="1" x14ac:dyDescent="0.35">
      <c r="A5" s="444"/>
      <c r="B5" s="446" t="s">
        <v>601</v>
      </c>
      <c r="C5" s="447"/>
      <c r="D5" s="447"/>
      <c r="E5" s="447"/>
      <c r="F5" s="447"/>
      <c r="G5" s="447"/>
      <c r="H5" s="447"/>
      <c r="I5" s="447"/>
      <c r="J5" s="465"/>
      <c r="K5" s="46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  <c r="W5" s="445"/>
      <c r="X5" s="445"/>
      <c r="Y5" s="445"/>
      <c r="Z5" s="445"/>
      <c r="AA5" s="445"/>
      <c r="AB5" s="445"/>
      <c r="AC5" s="445"/>
      <c r="AD5" s="445"/>
    </row>
    <row r="6" spans="1:30" ht="18" customHeight="1" x14ac:dyDescent="0.3">
      <c r="A6" s="444"/>
      <c r="B6" s="448" t="s">
        <v>453</v>
      </c>
      <c r="C6" s="448"/>
      <c r="D6" s="448" t="s">
        <v>398</v>
      </c>
      <c r="E6" s="448"/>
      <c r="F6" s="448" t="s">
        <v>394</v>
      </c>
      <c r="G6" s="448"/>
      <c r="H6" s="448" t="s">
        <v>526</v>
      </c>
      <c r="I6" s="448"/>
      <c r="J6" s="448" t="s">
        <v>600</v>
      </c>
      <c r="K6" s="448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  <c r="W6" s="445"/>
      <c r="X6" s="445"/>
      <c r="Y6" s="445"/>
      <c r="Z6" s="445"/>
      <c r="AA6" s="445"/>
      <c r="AB6" s="445"/>
      <c r="AC6" s="445"/>
      <c r="AD6" s="445"/>
    </row>
    <row r="7" spans="1:30" ht="25.5" customHeight="1" x14ac:dyDescent="0.3">
      <c r="A7" s="444"/>
      <c r="B7" s="464">
        <f>' Forecasted FS&gt;'!N9</f>
        <v>256609.28571428568</v>
      </c>
      <c r="C7" s="464"/>
      <c r="D7" s="464">
        <f>' Forecasted FS&gt;'!N15</f>
        <v>68844.285714285681</v>
      </c>
      <c r="E7" s="464"/>
      <c r="F7" s="464">
        <f>' Forecasted FS&gt;'!N21</f>
        <v>58578.857142857109</v>
      </c>
      <c r="G7" s="464"/>
      <c r="H7" s="464">
        <f>' Forecasted FS&gt;'!N36</f>
        <v>35165.428571428536</v>
      </c>
      <c r="I7" s="464"/>
      <c r="J7" s="449">
        <f>' Forecasted FS&gt;'!N10</f>
        <v>6.2184507225898633E-2</v>
      </c>
      <c r="K7" s="449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  <c r="AA7" s="445"/>
      <c r="AB7" s="445"/>
      <c r="AC7" s="445"/>
      <c r="AD7" s="445"/>
    </row>
    <row r="8" spans="1:30" ht="7.5" customHeight="1" x14ac:dyDescent="0.3">
      <c r="A8" s="444"/>
      <c r="B8" s="464"/>
      <c r="C8" s="464"/>
      <c r="D8" s="464"/>
      <c r="E8" s="464"/>
      <c r="F8" s="464"/>
      <c r="G8" s="464"/>
      <c r="H8" s="464"/>
      <c r="I8" s="464"/>
      <c r="J8" s="449"/>
      <c r="K8" s="449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  <c r="W8" s="445"/>
      <c r="X8" s="445"/>
      <c r="Y8" s="445"/>
      <c r="Z8" s="445"/>
      <c r="AA8" s="445"/>
      <c r="AB8" s="445"/>
      <c r="AC8" s="445"/>
      <c r="AD8" s="445"/>
    </row>
    <row r="9" spans="1:30" ht="13.5" customHeight="1" thickBot="1" x14ac:dyDescent="0.35">
      <c r="A9" s="444"/>
      <c r="B9" s="450" t="s">
        <v>596</v>
      </c>
      <c r="C9" s="450"/>
      <c r="D9" s="450" t="s">
        <v>596</v>
      </c>
      <c r="E9" s="450"/>
      <c r="F9" s="450" t="s">
        <v>596</v>
      </c>
      <c r="G9" s="450"/>
      <c r="H9" s="450" t="s">
        <v>596</v>
      </c>
      <c r="I9" s="450"/>
      <c r="J9" s="450" t="s">
        <v>599</v>
      </c>
      <c r="K9" s="450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  <c r="W9" s="445"/>
      <c r="X9" s="445"/>
      <c r="Y9" s="445"/>
      <c r="Z9" s="445"/>
      <c r="AA9" s="445"/>
      <c r="AB9" s="445"/>
      <c r="AC9" s="445"/>
      <c r="AD9" s="445"/>
    </row>
    <row r="10" spans="1:30" ht="18" customHeight="1" x14ac:dyDescent="0.3">
      <c r="A10" s="444"/>
      <c r="B10" s="448" t="s">
        <v>351</v>
      </c>
      <c r="C10" s="448"/>
      <c r="D10" s="448" t="s">
        <v>350</v>
      </c>
      <c r="E10" s="448"/>
      <c r="F10" s="448" t="s">
        <v>385</v>
      </c>
      <c r="G10" s="448"/>
      <c r="H10" s="448" t="s">
        <v>598</v>
      </c>
      <c r="I10" s="448"/>
      <c r="J10" s="448" t="s">
        <v>597</v>
      </c>
      <c r="K10" s="448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</row>
    <row r="11" spans="1:30" ht="25.5" customHeight="1" x14ac:dyDescent="0.3">
      <c r="A11" s="444"/>
      <c r="B11" s="449">
        <f>' Forecasted FS&gt;'!N16</f>
        <v>0.26828446804897932</v>
      </c>
      <c r="C11" s="449"/>
      <c r="D11" s="449">
        <f>' Forecasted FS&gt;'!N22</f>
        <v>0.22828034838957492</v>
      </c>
      <c r="E11" s="449"/>
      <c r="F11" s="449">
        <f>' Forecasted FS&gt;'!N37</f>
        <v>0.13703879995434959</v>
      </c>
      <c r="G11" s="449"/>
      <c r="H11" s="464">
        <f>' Forecasted FS&gt;'!N82</f>
        <v>49564.09073600288</v>
      </c>
      <c r="I11" s="464"/>
      <c r="J11" s="464">
        <f>' Forecasted FS&gt;'!N103</f>
        <v>5090.4820015469668</v>
      </c>
      <c r="K11" s="464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  <c r="W11" s="445"/>
      <c r="X11" s="445"/>
      <c r="Y11" s="445"/>
      <c r="Z11" s="445"/>
      <c r="AA11" s="445"/>
      <c r="AB11" s="445"/>
      <c r="AC11" s="445"/>
      <c r="AD11" s="445"/>
    </row>
    <row r="12" spans="1:30" ht="7.5" customHeight="1" x14ac:dyDescent="0.3">
      <c r="A12" s="444"/>
      <c r="B12" s="449"/>
      <c r="C12" s="449"/>
      <c r="D12" s="449"/>
      <c r="E12" s="449"/>
      <c r="F12" s="449"/>
      <c r="G12" s="449"/>
      <c r="H12" s="464"/>
      <c r="I12" s="464"/>
      <c r="J12" s="464"/>
      <c r="K12" s="464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  <c r="W12" s="445"/>
      <c r="X12" s="445"/>
      <c r="Y12" s="445"/>
      <c r="Z12" s="445"/>
      <c r="AA12" s="445"/>
      <c r="AB12" s="445"/>
      <c r="AC12" s="445"/>
      <c r="AD12" s="445"/>
    </row>
    <row r="13" spans="1:30" ht="13.5" customHeight="1" x14ac:dyDescent="0.3">
      <c r="A13" s="444"/>
      <c r="B13" s="450" t="s">
        <v>596</v>
      </c>
      <c r="C13" s="450"/>
      <c r="D13" s="450" t="s">
        <v>596</v>
      </c>
      <c r="E13" s="450"/>
      <c r="F13" s="450" t="s">
        <v>596</v>
      </c>
      <c r="G13" s="450"/>
      <c r="H13" s="450" t="s">
        <v>596</v>
      </c>
      <c r="I13" s="450"/>
      <c r="J13" s="450" t="s">
        <v>596</v>
      </c>
      <c r="K13" s="450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  <c r="W13" s="445"/>
      <c r="X13" s="445"/>
      <c r="Y13" s="445"/>
      <c r="Z13" s="445"/>
      <c r="AA13" s="445"/>
      <c r="AB13" s="445"/>
      <c r="AC13" s="445"/>
      <c r="AD13" s="445"/>
    </row>
    <row r="14" spans="1:30" x14ac:dyDescent="0.3">
      <c r="A14" s="444"/>
      <c r="B14" s="445"/>
      <c r="C14" s="445"/>
      <c r="D14" s="445"/>
      <c r="E14" s="445"/>
      <c r="F14" s="445"/>
      <c r="G14" s="445"/>
      <c r="H14" s="445"/>
      <c r="I14" s="445"/>
      <c r="J14" s="445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445"/>
      <c r="Y14" s="445"/>
      <c r="Z14" s="445"/>
      <c r="AA14" s="445"/>
      <c r="AB14" s="445"/>
      <c r="AC14" s="445"/>
      <c r="AD14" s="445"/>
    </row>
    <row r="15" spans="1:30" x14ac:dyDescent="0.3">
      <c r="A15" s="444"/>
      <c r="B15" s="446" t="s">
        <v>595</v>
      </c>
      <c r="C15" s="447"/>
      <c r="D15" s="447"/>
      <c r="E15" s="447"/>
      <c r="F15" s="447"/>
      <c r="G15" s="447"/>
      <c r="H15" s="451"/>
      <c r="I15" s="451"/>
      <c r="J15" s="445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  <c r="AA15" s="445"/>
      <c r="AB15" s="445"/>
      <c r="AC15" s="445"/>
      <c r="AD15" s="445"/>
    </row>
    <row r="16" spans="1:30" x14ac:dyDescent="0.3">
      <c r="A16" s="444"/>
      <c r="B16" s="452" t="s">
        <v>594</v>
      </c>
      <c r="C16" s="453">
        <f>[2]Income_Statement!C6</f>
        <v>2026</v>
      </c>
      <c r="D16" s="453">
        <f>[2]Income_Statement!D6</f>
        <v>2027</v>
      </c>
      <c r="E16" s="453">
        <f>[2]Income_Statement!E6</f>
        <v>2028</v>
      </c>
      <c r="F16" s="453">
        <f>[2]Income_Statement!F6</f>
        <v>2029</v>
      </c>
      <c r="G16" s="453">
        <f>[2]Income_Statement!G6</f>
        <v>2030</v>
      </c>
      <c r="H16" s="445"/>
      <c r="I16" s="445"/>
      <c r="J16" s="445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  <c r="W16" s="445"/>
      <c r="X16" s="445"/>
      <c r="Y16" s="445"/>
      <c r="Z16" s="445"/>
      <c r="AA16" s="445"/>
      <c r="AB16" s="445"/>
      <c r="AC16" s="445"/>
      <c r="AD16" s="445"/>
    </row>
    <row r="17" spans="1:30" x14ac:dyDescent="0.3">
      <c r="A17" s="444"/>
      <c r="B17" s="454" t="s">
        <v>593</v>
      </c>
      <c r="C17" s="162">
        <f>' Forecasted FS&gt;'!I9</f>
        <v>178650</v>
      </c>
      <c r="D17" s="162">
        <f>' Forecasted FS&gt;'!J9</f>
        <v>196517.57142857142</v>
      </c>
      <c r="E17" s="162">
        <f>' Forecasted FS&gt;'!K9</f>
        <v>211540.49999999997</v>
      </c>
      <c r="F17" s="162">
        <f>' Forecasted FS&gt;'!L9</f>
        <v>226563.42857142855</v>
      </c>
      <c r="G17" s="162">
        <f>' Forecasted FS&gt;'!M9</f>
        <v>241586.35714285713</v>
      </c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  <c r="Z17" s="445"/>
      <c r="AA17" s="445"/>
      <c r="AB17" s="445"/>
      <c r="AC17" s="445"/>
      <c r="AD17" s="445"/>
    </row>
    <row r="18" spans="1:30" x14ac:dyDescent="0.3">
      <c r="A18" s="444"/>
      <c r="B18" s="454" t="s">
        <v>398</v>
      </c>
      <c r="C18" s="162">
        <f>' Forecasted FS&gt;'!I15</f>
        <v>50393</v>
      </c>
      <c r="D18" s="162">
        <f>' Forecasted FS&gt;'!J15</f>
        <v>54401.42857142858</v>
      </c>
      <c r="E18" s="162">
        <f>' Forecasted FS&gt;'!K15</f>
        <v>58012.142857142811</v>
      </c>
      <c r="F18" s="162">
        <f>' Forecasted FS&gt;'!L15</f>
        <v>61622.85714285713</v>
      </c>
      <c r="G18" s="162">
        <f>' Forecasted FS&gt;'!M15</f>
        <v>65233.57142857142</v>
      </c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  <c r="W18" s="445"/>
      <c r="X18" s="445"/>
      <c r="Y18" s="445"/>
      <c r="Z18" s="445"/>
      <c r="AA18" s="445"/>
      <c r="AB18" s="445"/>
      <c r="AC18" s="445"/>
      <c r="AD18" s="445"/>
    </row>
    <row r="19" spans="1:30" x14ac:dyDescent="0.3">
      <c r="A19" s="444"/>
      <c r="B19" s="454" t="s">
        <v>394</v>
      </c>
      <c r="C19" s="162">
        <f>' Forecasted FS&gt;'!I21</f>
        <v>42280</v>
      </c>
      <c r="D19" s="162">
        <f>' Forecasted FS&gt;'!J21</f>
        <v>46055.000000000007</v>
      </c>
      <c r="E19" s="162">
        <f>' Forecasted FS&gt;'!K21</f>
        <v>49185.964285714239</v>
      </c>
      <c r="F19" s="162">
        <f>' Forecasted FS&gt;'!L21</f>
        <v>52316.928571428558</v>
      </c>
      <c r="G19" s="162">
        <f>' Forecasted FS&gt;'!M21</f>
        <v>55447.892857142848</v>
      </c>
      <c r="H19" s="445"/>
      <c r="I19" s="445"/>
      <c r="J19" s="445"/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  <c r="W19" s="445"/>
      <c r="X19" s="445"/>
      <c r="Y19" s="445"/>
      <c r="Z19" s="445"/>
      <c r="AA19" s="445"/>
      <c r="AB19" s="445"/>
      <c r="AC19" s="445"/>
      <c r="AD19" s="445"/>
    </row>
    <row r="20" spans="1:30" x14ac:dyDescent="0.3">
      <c r="A20" s="444"/>
      <c r="B20" s="454" t="s">
        <v>526</v>
      </c>
      <c r="C20" s="162">
        <f>' Forecasted FS&gt;'!I36</f>
        <v>26441</v>
      </c>
      <c r="D20" s="162">
        <f>' Forecasted FS&gt;'!J36</f>
        <v>27828.714285714297</v>
      </c>
      <c r="E20" s="162">
        <f>' Forecasted FS&gt;'!K36</f>
        <v>29662.892857142808</v>
      </c>
      <c r="F20" s="162">
        <f>' Forecasted FS&gt;'!L36</f>
        <v>31497.071428571413</v>
      </c>
      <c r="G20" s="162">
        <f>' Forecasted FS&gt;'!M36</f>
        <v>33331.249999999985</v>
      </c>
      <c r="H20" s="445"/>
      <c r="I20" s="445"/>
      <c r="J20" s="44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</row>
    <row r="21" spans="1:30" x14ac:dyDescent="0.3">
      <c r="A21" s="444"/>
      <c r="B21" s="455" t="s">
        <v>592</v>
      </c>
      <c r="C21" s="456">
        <f>' Forecasted FS&gt;'!I37</f>
        <v>0.14800447802966696</v>
      </c>
      <c r="D21" s="456">
        <f>' Forecasted FS&gt;'!J37</f>
        <v>0.14160929266230651</v>
      </c>
      <c r="E21" s="456">
        <f>' Forecasted FS&gt;'!K37</f>
        <v>0.14022323317351906</v>
      </c>
      <c r="F21" s="456">
        <f>' Forecasted FS&gt;'!L37</f>
        <v>0.13902098686964981</v>
      </c>
      <c r="G21" s="456">
        <f>' Forecasted FS&gt;'!M37</f>
        <v>0.13796826275372095</v>
      </c>
      <c r="H21" s="445"/>
      <c r="I21" s="465"/>
      <c r="J21" s="44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  <c r="W21" s="445"/>
      <c r="X21" s="445"/>
      <c r="Y21" s="445"/>
      <c r="Z21" s="445"/>
      <c r="AA21" s="445"/>
      <c r="AB21" s="445"/>
      <c r="AC21" s="445"/>
      <c r="AD21" s="445"/>
    </row>
    <row r="22" spans="1:30" x14ac:dyDescent="0.3">
      <c r="A22" s="444"/>
      <c r="B22" s="454" t="s">
        <v>591</v>
      </c>
      <c r="C22" s="162">
        <f>' Forecasted FS&gt;'!I82</f>
        <v>33986</v>
      </c>
      <c r="D22" s="162">
        <f>' Forecasted FS&gt;'!J82</f>
        <v>36954.714285714297</v>
      </c>
      <c r="E22" s="162">
        <f>' Forecasted FS&gt;'!K82</f>
        <v>39434.551020408158</v>
      </c>
      <c r="F22" s="162">
        <f>' Forecasted FS&gt;'!L82</f>
        <v>43147.33527696794</v>
      </c>
      <c r="G22" s="162">
        <f>' Forecasted FS&gt;'!M82</f>
        <v>46949.203248646416</v>
      </c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  <c r="W22" s="445"/>
      <c r="X22" s="445"/>
      <c r="Y22" s="445"/>
      <c r="Z22" s="445"/>
      <c r="AA22" s="445"/>
      <c r="AB22" s="445"/>
      <c r="AC22" s="445"/>
      <c r="AD22" s="445"/>
    </row>
    <row r="23" spans="1:30" x14ac:dyDescent="0.3">
      <c r="A23" s="444"/>
      <c r="B23" s="455" t="s">
        <v>590</v>
      </c>
      <c r="C23" s="463">
        <f>' Forecasted FS&gt;'!I85</f>
        <v>-2727</v>
      </c>
      <c r="D23" s="463">
        <f>' Forecasted FS&gt;'!J85</f>
        <v>-2268.4285714285716</v>
      </c>
      <c r="E23" s="463">
        <f>' Forecasted FS&gt;'!K85</f>
        <v>-2507.8163265306125</v>
      </c>
      <c r="F23" s="463">
        <f>' Forecasted FS&gt;'!L85</f>
        <v>-2518.0787172011669</v>
      </c>
      <c r="G23" s="463">
        <f>' Forecasted FS&gt;'!M85</f>
        <v>-2500.0887130362353</v>
      </c>
      <c r="H23" s="445"/>
      <c r="I23" s="445"/>
      <c r="J23" s="44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  <c r="W23" s="445"/>
      <c r="X23" s="445"/>
      <c r="Y23" s="445"/>
      <c r="Z23" s="445"/>
      <c r="AA23" s="445"/>
      <c r="AB23" s="445"/>
      <c r="AC23" s="445"/>
      <c r="AD23" s="445"/>
    </row>
    <row r="24" spans="1:30" x14ac:dyDescent="0.3">
      <c r="A24" s="444"/>
      <c r="B24" s="445"/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  <c r="W24" s="445"/>
      <c r="X24" s="445"/>
      <c r="Y24" s="445"/>
      <c r="Z24" s="445"/>
      <c r="AA24" s="445"/>
      <c r="AB24" s="445"/>
      <c r="AC24" s="445"/>
      <c r="AD24" s="445"/>
    </row>
    <row r="25" spans="1:30" x14ac:dyDescent="0.3">
      <c r="A25" s="444"/>
      <c r="B25" s="446" t="s">
        <v>589</v>
      </c>
      <c r="C25" s="447"/>
      <c r="D25" s="447"/>
      <c r="E25" s="447"/>
      <c r="F25" s="447"/>
      <c r="G25" s="447"/>
      <c r="H25" s="447"/>
      <c r="I25" s="447"/>
      <c r="J25" s="44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5"/>
      <c r="AD25" s="445"/>
    </row>
    <row r="26" spans="1:30" x14ac:dyDescent="0.3">
      <c r="A26" s="444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  <c r="W26" s="445"/>
      <c r="X26" s="445"/>
      <c r="Y26" s="445"/>
      <c r="Z26" s="445"/>
      <c r="AA26" s="445"/>
      <c r="AB26" s="445"/>
      <c r="AC26" s="445"/>
      <c r="AD26" s="445"/>
    </row>
    <row r="27" spans="1:30" x14ac:dyDescent="0.3">
      <c r="A27" s="444"/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  <c r="W27" s="445"/>
      <c r="X27" s="445"/>
      <c r="Y27" s="445"/>
      <c r="Z27" s="445"/>
      <c r="AA27" s="445"/>
      <c r="AB27" s="445"/>
      <c r="AC27" s="445"/>
      <c r="AD27" s="445"/>
    </row>
    <row r="28" spans="1:30" x14ac:dyDescent="0.3">
      <c r="A28" s="444"/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  <c r="W28" s="445"/>
      <c r="X28" s="445"/>
      <c r="Y28" s="445"/>
      <c r="Z28" s="445"/>
      <c r="AA28" s="445"/>
      <c r="AB28" s="445"/>
      <c r="AC28" s="445"/>
      <c r="AD28" s="445"/>
    </row>
    <row r="29" spans="1:30" x14ac:dyDescent="0.3">
      <c r="A29" s="444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  <c r="W29" s="445"/>
      <c r="X29" s="445"/>
      <c r="Y29" s="445"/>
      <c r="Z29" s="445"/>
      <c r="AA29" s="445"/>
      <c r="AB29" s="445"/>
      <c r="AC29" s="445"/>
      <c r="AD29" s="445"/>
    </row>
    <row r="30" spans="1:30" x14ac:dyDescent="0.3">
      <c r="A30" s="444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  <c r="W30" s="445"/>
      <c r="X30" s="445"/>
      <c r="Y30" s="445"/>
      <c r="Z30" s="445"/>
      <c r="AA30" s="445"/>
      <c r="AB30" s="445"/>
      <c r="AC30" s="445"/>
      <c r="AD30" s="445"/>
    </row>
    <row r="31" spans="1:30" x14ac:dyDescent="0.3">
      <c r="A31" s="444"/>
      <c r="B31" s="445"/>
      <c r="C31" s="445"/>
      <c r="D31" s="445"/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  <c r="W31" s="445"/>
      <c r="X31" s="445"/>
      <c r="Y31" s="445"/>
      <c r="Z31" s="445"/>
      <c r="AA31" s="445"/>
      <c r="AB31" s="445"/>
      <c r="AC31" s="445"/>
      <c r="AD31" s="445"/>
    </row>
    <row r="32" spans="1:30" x14ac:dyDescent="0.3">
      <c r="A32" s="444"/>
      <c r="B32" s="445"/>
      <c r="C32" s="445"/>
      <c r="D32" s="445"/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  <c r="W32" s="445"/>
      <c r="X32" s="445"/>
      <c r="Y32" s="445"/>
      <c r="Z32" s="445"/>
      <c r="AA32" s="445"/>
      <c r="AB32" s="445"/>
      <c r="AC32" s="445"/>
      <c r="AD32" s="445"/>
    </row>
    <row r="33" spans="1:30" x14ac:dyDescent="0.3">
      <c r="A33" s="444"/>
      <c r="B33" s="445"/>
      <c r="C33" s="445"/>
      <c r="D33" s="445"/>
      <c r="E33" s="445"/>
      <c r="F33" s="445"/>
      <c r="G33" s="445"/>
      <c r="H33" s="445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45"/>
      <c r="X33" s="445"/>
      <c r="Y33" s="445"/>
      <c r="Z33" s="445"/>
      <c r="AA33" s="445"/>
      <c r="AB33" s="445"/>
      <c r="AC33" s="445"/>
      <c r="AD33" s="445"/>
    </row>
    <row r="34" spans="1:30" x14ac:dyDescent="0.3">
      <c r="A34" s="444"/>
      <c r="B34" s="445"/>
      <c r="C34" s="445"/>
      <c r="D34" s="445"/>
      <c r="E34" s="445"/>
      <c r="F34" s="445"/>
      <c r="G34" s="445"/>
      <c r="H34" s="445"/>
      <c r="I34" s="445"/>
      <c r="J34" s="44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  <c r="W34" s="445"/>
      <c r="X34" s="445"/>
      <c r="Y34" s="445"/>
      <c r="Z34" s="445"/>
      <c r="AA34" s="445"/>
      <c r="AB34" s="445"/>
      <c r="AC34" s="445"/>
      <c r="AD34" s="445"/>
    </row>
    <row r="35" spans="1:30" x14ac:dyDescent="0.3">
      <c r="A35" s="444"/>
      <c r="B35" s="445"/>
      <c r="C35" s="445"/>
      <c r="D35" s="445"/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  <c r="W35" s="445"/>
      <c r="X35" s="445"/>
      <c r="Y35" s="445"/>
      <c r="Z35" s="445"/>
      <c r="AA35" s="445"/>
      <c r="AB35" s="445"/>
      <c r="AC35" s="445"/>
      <c r="AD35" s="445"/>
    </row>
    <row r="36" spans="1:30" x14ac:dyDescent="0.3">
      <c r="A36" s="444"/>
      <c r="B36" s="445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</row>
    <row r="37" spans="1:30" x14ac:dyDescent="0.3">
      <c r="A37" s="444"/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  <c r="W37" s="445"/>
      <c r="X37" s="445"/>
      <c r="Y37" s="445"/>
      <c r="Z37" s="445"/>
      <c r="AA37" s="445"/>
      <c r="AB37" s="445"/>
      <c r="AC37" s="445"/>
      <c r="AD37" s="445"/>
    </row>
    <row r="38" spans="1:30" x14ac:dyDescent="0.3">
      <c r="A38" s="444"/>
      <c r="B38" s="445"/>
      <c r="C38" s="445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  <c r="W38" s="445"/>
      <c r="X38" s="445"/>
      <c r="Y38" s="445"/>
      <c r="Z38" s="445"/>
      <c r="AA38" s="445"/>
      <c r="AB38" s="445"/>
      <c r="AC38" s="445"/>
      <c r="AD38" s="445"/>
    </row>
    <row r="39" spans="1:30" x14ac:dyDescent="0.3">
      <c r="A39" s="444"/>
      <c r="B39" s="457" t="s">
        <v>588</v>
      </c>
      <c r="C39" s="458"/>
      <c r="D39" s="458"/>
      <c r="E39" s="451"/>
      <c r="F39" s="451"/>
      <c r="G39" s="451"/>
      <c r="H39" s="451"/>
      <c r="I39" s="451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  <c r="W39" s="445"/>
      <c r="X39" s="445"/>
      <c r="Y39" s="445"/>
      <c r="Z39" s="445"/>
      <c r="AA39" s="445"/>
      <c r="AB39" s="445"/>
      <c r="AC39" s="445"/>
      <c r="AD39" s="445"/>
    </row>
    <row r="40" spans="1:30" x14ac:dyDescent="0.3">
      <c r="A40" s="444"/>
      <c r="B40" s="459" t="s">
        <v>587</v>
      </c>
      <c r="C40" s="460">
        <f>[2]Income_Statement!C9</f>
        <v>56000000.000000007</v>
      </c>
      <c r="D40" s="460">
        <f>[2]Income_Statement!D9</f>
        <v>61600000.000000015</v>
      </c>
      <c r="E40" s="461"/>
      <c r="F40" s="461"/>
      <c r="G40" s="461"/>
      <c r="H40" s="444"/>
      <c r="I40" s="444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  <c r="W40" s="445"/>
      <c r="X40" s="445"/>
      <c r="Y40" s="445"/>
      <c r="Z40" s="445"/>
      <c r="AA40" s="445"/>
      <c r="AB40" s="445"/>
      <c r="AC40" s="445"/>
      <c r="AD40" s="445"/>
    </row>
    <row r="41" spans="1:30" x14ac:dyDescent="0.3">
      <c r="A41" s="444"/>
      <c r="B41" s="459"/>
      <c r="C41" s="460"/>
      <c r="D41" s="460"/>
      <c r="E41" s="460"/>
      <c r="F41" s="460"/>
      <c r="G41" s="460"/>
      <c r="H41" s="445"/>
      <c r="I41" s="445"/>
      <c r="J41" s="445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  <c r="W41" s="445"/>
      <c r="X41" s="445"/>
      <c r="Y41" s="445"/>
      <c r="Z41" s="445"/>
      <c r="AA41" s="445"/>
      <c r="AB41" s="445"/>
      <c r="AC41" s="445"/>
      <c r="AD41" s="445"/>
    </row>
    <row r="42" spans="1:30" x14ac:dyDescent="0.3">
      <c r="A42" s="444"/>
      <c r="B42" s="459"/>
      <c r="C42" s="460"/>
      <c r="D42" s="460"/>
      <c r="E42" s="460"/>
      <c r="F42" s="460"/>
      <c r="G42" s="460"/>
      <c r="H42" s="445"/>
      <c r="I42" s="445"/>
      <c r="J42" s="445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  <c r="AA42" s="445"/>
      <c r="AB42" s="445"/>
      <c r="AC42" s="445"/>
      <c r="AD42" s="445"/>
    </row>
    <row r="43" spans="1:30" x14ac:dyDescent="0.3">
      <c r="A43" s="444"/>
      <c r="B43" s="445"/>
      <c r="C43" s="445"/>
      <c r="D43" s="445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  <c r="W43" s="445"/>
      <c r="X43" s="445"/>
      <c r="Y43" s="445"/>
      <c r="Z43" s="445"/>
      <c r="AA43" s="445"/>
      <c r="AB43" s="445"/>
      <c r="AC43" s="445"/>
      <c r="AD43" s="445"/>
    </row>
    <row r="44" spans="1:30" x14ac:dyDescent="0.3">
      <c r="A44" s="444"/>
      <c r="B44" s="445"/>
      <c r="C44" s="445"/>
      <c r="D44" s="445"/>
      <c r="E44" s="445"/>
      <c r="F44" s="445"/>
      <c r="G44" s="445"/>
      <c r="H44" s="445"/>
      <c r="I44" s="445"/>
      <c r="J44" s="445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  <c r="W44" s="445"/>
      <c r="X44" s="445"/>
      <c r="Y44" s="445"/>
      <c r="Z44" s="445"/>
      <c r="AA44" s="445"/>
      <c r="AB44" s="445"/>
      <c r="AC44" s="445"/>
      <c r="AD44" s="445"/>
    </row>
    <row r="45" spans="1:30" x14ac:dyDescent="0.3">
      <c r="A45" s="444"/>
      <c r="B45" s="445"/>
      <c r="C45" s="445"/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  <c r="W45" s="445"/>
      <c r="X45" s="445"/>
      <c r="Y45" s="445"/>
      <c r="Z45" s="445"/>
      <c r="AA45" s="445"/>
      <c r="AB45" s="445"/>
      <c r="AC45" s="445"/>
      <c r="AD45" s="445"/>
    </row>
    <row r="46" spans="1:30" x14ac:dyDescent="0.3">
      <c r="A46" s="444"/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  <c r="W46" s="445"/>
      <c r="X46" s="445"/>
      <c r="Y46" s="445"/>
      <c r="Z46" s="445"/>
      <c r="AA46" s="445"/>
      <c r="AB46" s="445"/>
      <c r="AC46" s="445"/>
      <c r="AD46" s="445"/>
    </row>
    <row r="47" spans="1:30" x14ac:dyDescent="0.3">
      <c r="A47" s="444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5"/>
      <c r="AD47" s="445"/>
    </row>
    <row r="48" spans="1:30" x14ac:dyDescent="0.3">
      <c r="A48" s="444"/>
      <c r="B48" s="445"/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  <c r="W48" s="445"/>
      <c r="X48" s="445"/>
      <c r="Y48" s="445"/>
      <c r="Z48" s="445"/>
      <c r="AA48" s="445"/>
      <c r="AB48" s="445"/>
      <c r="AC48" s="445"/>
      <c r="AD48" s="445"/>
    </row>
    <row r="49" spans="1:30" x14ac:dyDescent="0.3">
      <c r="A49" s="444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  <c r="W49" s="445"/>
      <c r="X49" s="445"/>
      <c r="Y49" s="445"/>
      <c r="Z49" s="445"/>
      <c r="AA49" s="445"/>
      <c r="AB49" s="445"/>
      <c r="AC49" s="445"/>
      <c r="AD49" s="445"/>
    </row>
    <row r="50" spans="1:30" x14ac:dyDescent="0.3">
      <c r="A50" s="444"/>
      <c r="B50" s="445"/>
      <c r="C50" s="445"/>
      <c r="D50" s="445"/>
      <c r="E50" s="445"/>
      <c r="F50" s="445"/>
      <c r="G50" s="445"/>
      <c r="H50" s="445"/>
      <c r="I50" s="445"/>
      <c r="J50" s="445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5"/>
      <c r="V50" s="445"/>
      <c r="W50" s="445"/>
      <c r="X50" s="445"/>
      <c r="Y50" s="445"/>
      <c r="Z50" s="445"/>
      <c r="AA50" s="445"/>
      <c r="AB50" s="445"/>
      <c r="AC50" s="445"/>
      <c r="AD50" s="445"/>
    </row>
    <row r="51" spans="1:30" x14ac:dyDescent="0.3">
      <c r="A51" s="444"/>
      <c r="B51" s="445"/>
      <c r="C51" s="445"/>
      <c r="D51" s="445"/>
      <c r="E51" s="445"/>
      <c r="F51" s="445"/>
      <c r="G51" s="445"/>
      <c r="H51" s="445"/>
      <c r="I51" s="445"/>
      <c r="J51" s="445"/>
      <c r="K51" s="445"/>
      <c r="L51" s="445"/>
      <c r="M51" s="445"/>
      <c r="N51" s="445"/>
      <c r="O51" s="445"/>
      <c r="P51" s="445"/>
      <c r="Q51" s="445"/>
      <c r="R51" s="445"/>
      <c r="S51" s="445"/>
      <c r="T51" s="445"/>
      <c r="U51" s="445"/>
      <c r="V51" s="445"/>
      <c r="W51" s="445"/>
      <c r="X51" s="445"/>
      <c r="Y51" s="445"/>
      <c r="Z51" s="445"/>
      <c r="AA51" s="445"/>
      <c r="AB51" s="445"/>
      <c r="AC51" s="445"/>
      <c r="AD51" s="445"/>
    </row>
    <row r="52" spans="1:30" x14ac:dyDescent="0.3">
      <c r="A52" s="444"/>
      <c r="B52" s="445"/>
      <c r="C52" s="445"/>
      <c r="D52" s="445"/>
      <c r="E52" s="445"/>
      <c r="F52" s="445"/>
      <c r="G52" s="445"/>
      <c r="H52" s="445"/>
      <c r="I52" s="445"/>
      <c r="J52" s="445"/>
      <c r="K52" s="445"/>
      <c r="L52" s="445"/>
      <c r="M52" s="445"/>
      <c r="N52" s="445"/>
      <c r="O52" s="445"/>
      <c r="P52" s="445"/>
      <c r="Q52" s="445"/>
      <c r="R52" s="445"/>
      <c r="S52" s="445"/>
      <c r="T52" s="445"/>
      <c r="U52" s="445"/>
      <c r="V52" s="445"/>
      <c r="W52" s="445"/>
      <c r="X52" s="445"/>
      <c r="Y52" s="445"/>
      <c r="Z52" s="445"/>
      <c r="AA52" s="445"/>
      <c r="AB52" s="445"/>
      <c r="AC52" s="445"/>
      <c r="AD52" s="445"/>
    </row>
    <row r="53" spans="1:30" x14ac:dyDescent="0.3">
      <c r="A53" s="444"/>
      <c r="B53" s="445"/>
      <c r="C53" s="445"/>
      <c r="D53" s="445"/>
      <c r="E53" s="445"/>
      <c r="F53" s="445"/>
      <c r="G53" s="445"/>
      <c r="H53" s="445"/>
      <c r="I53" s="445"/>
      <c r="J53" s="445"/>
      <c r="K53" s="445"/>
      <c r="L53" s="445"/>
      <c r="M53" s="445"/>
      <c r="N53" s="445"/>
      <c r="O53" s="445"/>
      <c r="P53" s="445"/>
      <c r="Q53" s="445"/>
      <c r="R53" s="445"/>
      <c r="S53" s="445"/>
      <c r="T53" s="445"/>
      <c r="U53" s="445"/>
      <c r="V53" s="445"/>
      <c r="W53" s="445"/>
      <c r="X53" s="445"/>
      <c r="Y53" s="445"/>
      <c r="Z53" s="445"/>
      <c r="AA53" s="445"/>
      <c r="AB53" s="445"/>
      <c r="AC53" s="445"/>
      <c r="AD53" s="445"/>
    </row>
    <row r="54" spans="1:30" x14ac:dyDescent="0.3">
      <c r="A54" s="444"/>
      <c r="B54" s="445"/>
      <c r="C54" s="445"/>
      <c r="D54" s="445"/>
      <c r="E54" s="445"/>
      <c r="F54" s="445"/>
      <c r="G54" s="445"/>
      <c r="H54" s="445"/>
      <c r="I54" s="445"/>
      <c r="J54" s="445"/>
      <c r="K54" s="445"/>
      <c r="L54" s="445"/>
      <c r="M54" s="445"/>
      <c r="N54" s="445"/>
      <c r="O54" s="445"/>
      <c r="P54" s="445"/>
      <c r="Q54" s="445"/>
      <c r="R54" s="445"/>
      <c r="S54" s="445"/>
      <c r="T54" s="445"/>
      <c r="U54" s="445"/>
      <c r="V54" s="445"/>
      <c r="W54" s="445"/>
      <c r="X54" s="445"/>
      <c r="Y54" s="445"/>
      <c r="Z54" s="445"/>
      <c r="AA54" s="445"/>
      <c r="AB54" s="445"/>
      <c r="AC54" s="445"/>
      <c r="AD54" s="445"/>
    </row>
    <row r="55" spans="1:30" x14ac:dyDescent="0.3">
      <c r="A55" s="444"/>
      <c r="B55" s="445"/>
      <c r="C55" s="445"/>
      <c r="D55" s="445"/>
      <c r="E55" s="445"/>
      <c r="F55" s="445"/>
      <c r="G55" s="445"/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  <c r="AA55" s="445"/>
      <c r="AB55" s="445"/>
      <c r="AC55" s="445"/>
      <c r="AD55" s="445"/>
    </row>
    <row r="56" spans="1:30" x14ac:dyDescent="0.3">
      <c r="A56" s="444"/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45"/>
      <c r="X56" s="445"/>
      <c r="Y56" s="445"/>
      <c r="Z56" s="445"/>
      <c r="AA56" s="445"/>
      <c r="AB56" s="445"/>
      <c r="AC56" s="445"/>
      <c r="AD56" s="445"/>
    </row>
    <row r="57" spans="1:30" x14ac:dyDescent="0.3">
      <c r="A57" s="444"/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  <c r="R57" s="445"/>
      <c r="S57" s="445"/>
      <c r="T57" s="445"/>
      <c r="U57" s="445"/>
      <c r="V57" s="445"/>
      <c r="W57" s="445"/>
      <c r="X57" s="445"/>
      <c r="Y57" s="445"/>
      <c r="Z57" s="445"/>
      <c r="AA57" s="445"/>
      <c r="AB57" s="445"/>
      <c r="AC57" s="445"/>
      <c r="AD57" s="445"/>
    </row>
    <row r="58" spans="1:30" x14ac:dyDescent="0.3">
      <c r="A58" s="444"/>
      <c r="B58" s="445"/>
      <c r="C58" s="445"/>
      <c r="D58" s="445"/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  <c r="R58" s="445"/>
      <c r="S58" s="445"/>
      <c r="T58" s="445"/>
      <c r="U58" s="445"/>
      <c r="V58" s="445"/>
      <c r="W58" s="445"/>
      <c r="X58" s="445"/>
      <c r="Y58" s="445"/>
      <c r="Z58" s="445"/>
      <c r="AA58" s="445"/>
      <c r="AB58" s="445"/>
      <c r="AC58" s="445"/>
      <c r="AD58" s="445"/>
    </row>
    <row r="59" spans="1:30" x14ac:dyDescent="0.3">
      <c r="A59" s="444"/>
      <c r="B59" s="445"/>
      <c r="C59" s="445"/>
      <c r="D59" s="445"/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  <c r="T59" s="445"/>
      <c r="U59" s="445"/>
      <c r="V59" s="445"/>
      <c r="W59" s="445"/>
      <c r="X59" s="445"/>
      <c r="Y59" s="445"/>
      <c r="Z59" s="445"/>
      <c r="AA59" s="445"/>
      <c r="AB59" s="445"/>
      <c r="AC59" s="445"/>
      <c r="AD59" s="445"/>
    </row>
    <row r="60" spans="1:30" x14ac:dyDescent="0.3">
      <c r="A60" s="444"/>
      <c r="B60" s="445"/>
      <c r="C60" s="445"/>
      <c r="D60" s="445"/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  <c r="R60" s="445"/>
      <c r="S60" s="445"/>
      <c r="T60" s="445"/>
      <c r="U60" s="445"/>
      <c r="V60" s="445"/>
      <c r="W60" s="445"/>
      <c r="X60" s="445"/>
      <c r="Y60" s="445"/>
      <c r="Z60" s="445"/>
      <c r="AA60" s="445"/>
      <c r="AB60" s="445"/>
      <c r="AC60" s="445"/>
      <c r="AD60" s="445"/>
    </row>
    <row r="61" spans="1:30" x14ac:dyDescent="0.3">
      <c r="A61" s="444"/>
      <c r="B61" s="445"/>
      <c r="C61" s="445"/>
      <c r="D61" s="445"/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  <c r="R61" s="445"/>
      <c r="S61" s="445"/>
      <c r="T61" s="445"/>
      <c r="U61" s="445"/>
      <c r="V61" s="445"/>
      <c r="W61" s="445"/>
      <c r="X61" s="445"/>
      <c r="Y61" s="445"/>
      <c r="Z61" s="445"/>
      <c r="AA61" s="445"/>
      <c r="AB61" s="445"/>
      <c r="AC61" s="445"/>
      <c r="AD61" s="445"/>
    </row>
    <row r="62" spans="1:30" x14ac:dyDescent="0.3">
      <c r="A62" s="444"/>
      <c r="B62" s="445"/>
      <c r="C62" s="445"/>
      <c r="D62" s="445"/>
      <c r="E62" s="445"/>
      <c r="F62" s="445"/>
      <c r="G62" s="445"/>
      <c r="H62" s="445"/>
      <c r="I62" s="445"/>
      <c r="J62" s="445"/>
      <c r="K62" s="445"/>
      <c r="L62" s="445"/>
      <c r="M62" s="445"/>
      <c r="N62" s="445"/>
      <c r="O62" s="445"/>
      <c r="P62" s="445"/>
      <c r="Q62" s="445"/>
      <c r="R62" s="445"/>
      <c r="S62" s="445"/>
      <c r="T62" s="445"/>
      <c r="U62" s="445"/>
      <c r="V62" s="445"/>
      <c r="W62" s="445"/>
      <c r="X62" s="445"/>
      <c r="Y62" s="445"/>
      <c r="Z62" s="445"/>
      <c r="AA62" s="445"/>
      <c r="AB62" s="445"/>
      <c r="AC62" s="445"/>
      <c r="AD62" s="445"/>
    </row>
    <row r="63" spans="1:30" x14ac:dyDescent="0.3">
      <c r="A63" s="444"/>
      <c r="B63" s="445"/>
      <c r="C63" s="445"/>
      <c r="D63" s="445"/>
      <c r="E63" s="445"/>
      <c r="F63" s="445"/>
      <c r="G63" s="445"/>
      <c r="H63" s="445"/>
      <c r="I63" s="445"/>
      <c r="J63" s="445"/>
      <c r="K63" s="445"/>
      <c r="L63" s="445"/>
      <c r="M63" s="445"/>
      <c r="N63" s="445"/>
      <c r="O63" s="445"/>
      <c r="P63" s="445"/>
      <c r="Q63" s="445"/>
      <c r="R63" s="445"/>
      <c r="S63" s="445"/>
      <c r="T63" s="445"/>
      <c r="U63" s="445"/>
      <c r="V63" s="445"/>
      <c r="W63" s="445"/>
      <c r="X63" s="445"/>
      <c r="Y63" s="445"/>
      <c r="Z63" s="445"/>
      <c r="AA63" s="445"/>
      <c r="AB63" s="445"/>
      <c r="AC63" s="445"/>
      <c r="AD63" s="445"/>
    </row>
    <row r="64" spans="1:30" x14ac:dyDescent="0.3">
      <c r="A64" s="444"/>
      <c r="B64" s="445"/>
      <c r="C64" s="445"/>
      <c r="D64" s="445"/>
      <c r="E64" s="445"/>
      <c r="F64" s="445"/>
      <c r="G64" s="445"/>
      <c r="H64" s="445"/>
      <c r="I64" s="445"/>
      <c r="J64" s="445"/>
      <c r="K64" s="445"/>
      <c r="L64" s="445"/>
      <c r="M64" s="445"/>
      <c r="N64" s="445"/>
      <c r="O64" s="445"/>
      <c r="P64" s="445"/>
      <c r="Q64" s="445"/>
      <c r="R64" s="445"/>
      <c r="S64" s="445"/>
      <c r="T64" s="445"/>
      <c r="U64" s="445"/>
      <c r="V64" s="445"/>
      <c r="W64" s="445"/>
      <c r="X64" s="445"/>
      <c r="Y64" s="445"/>
      <c r="Z64" s="445"/>
      <c r="AA64" s="445"/>
      <c r="AB64" s="445"/>
      <c r="AC64" s="445"/>
      <c r="AD64" s="445"/>
    </row>
    <row r="65" spans="1:30" x14ac:dyDescent="0.3">
      <c r="A65" s="444"/>
      <c r="B65" s="445"/>
      <c r="C65" s="445"/>
      <c r="D65" s="445"/>
      <c r="E65" s="445"/>
      <c r="F65" s="445"/>
      <c r="G65" s="445"/>
      <c r="H65" s="445"/>
      <c r="I65" s="445"/>
      <c r="J65" s="445"/>
      <c r="K65" s="445"/>
      <c r="L65" s="445"/>
      <c r="M65" s="445"/>
      <c r="N65" s="445"/>
      <c r="O65" s="445"/>
      <c r="P65" s="445"/>
      <c r="Q65" s="445"/>
      <c r="R65" s="445"/>
      <c r="S65" s="445"/>
      <c r="T65" s="445"/>
      <c r="U65" s="445"/>
      <c r="V65" s="445"/>
      <c r="W65" s="445"/>
      <c r="X65" s="445"/>
      <c r="Y65" s="445"/>
      <c r="Z65" s="445"/>
      <c r="AA65" s="445"/>
      <c r="AB65" s="445"/>
      <c r="AC65" s="445"/>
      <c r="AD65" s="445"/>
    </row>
    <row r="66" spans="1:30" x14ac:dyDescent="0.3">
      <c r="A66" s="444"/>
      <c r="B66" s="445"/>
      <c r="C66" s="445"/>
      <c r="D66" s="445"/>
      <c r="E66" s="445"/>
      <c r="F66" s="445"/>
      <c r="G66" s="445"/>
      <c r="H66" s="445"/>
      <c r="I66" s="445"/>
      <c r="J66" s="445"/>
      <c r="K66" s="445"/>
      <c r="L66" s="445"/>
      <c r="M66" s="445"/>
      <c r="N66" s="445"/>
      <c r="O66" s="445"/>
      <c r="P66" s="445"/>
      <c r="Q66" s="445"/>
      <c r="R66" s="445"/>
      <c r="S66" s="445"/>
      <c r="T66" s="445"/>
      <c r="U66" s="445"/>
      <c r="V66" s="445"/>
      <c r="W66" s="445"/>
      <c r="X66" s="445"/>
      <c r="Y66" s="445"/>
      <c r="Z66" s="445"/>
      <c r="AA66" s="445"/>
      <c r="AB66" s="445"/>
      <c r="AC66" s="445"/>
      <c r="AD66" s="445"/>
    </row>
    <row r="67" spans="1:30" x14ac:dyDescent="0.3">
      <c r="A67" s="444"/>
      <c r="B67" s="445"/>
      <c r="C67" s="445"/>
      <c r="D67" s="445"/>
      <c r="E67" s="445"/>
      <c r="F67" s="445"/>
      <c r="G67" s="445"/>
      <c r="H67" s="445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45"/>
      <c r="X67" s="445"/>
      <c r="Y67" s="445"/>
      <c r="Z67" s="445"/>
      <c r="AA67" s="445"/>
      <c r="AB67" s="445"/>
      <c r="AC67" s="445"/>
      <c r="AD67" s="445"/>
    </row>
    <row r="68" spans="1:30" x14ac:dyDescent="0.3">
      <c r="A68" s="444"/>
      <c r="B68" s="445"/>
      <c r="C68" s="445"/>
      <c r="D68" s="445"/>
      <c r="E68" s="445"/>
      <c r="F68" s="445"/>
      <c r="G68" s="445"/>
      <c r="H68" s="445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5"/>
      <c r="T68" s="445"/>
      <c r="U68" s="445"/>
      <c r="V68" s="445"/>
      <c r="W68" s="445"/>
      <c r="X68" s="445"/>
      <c r="Y68" s="445"/>
      <c r="Z68" s="445"/>
      <c r="AA68" s="445"/>
      <c r="AB68" s="445"/>
      <c r="AC68" s="445"/>
      <c r="AD68" s="445"/>
    </row>
    <row r="69" spans="1:30" x14ac:dyDescent="0.3">
      <c r="A69" s="444"/>
      <c r="B69" s="445"/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5"/>
      <c r="O69" s="445"/>
      <c r="P69" s="445"/>
      <c r="Q69" s="445"/>
      <c r="R69" s="445"/>
      <c r="S69" s="445"/>
      <c r="T69" s="445"/>
      <c r="U69" s="445"/>
      <c r="V69" s="445"/>
      <c r="W69" s="445"/>
      <c r="X69" s="445"/>
      <c r="Y69" s="445"/>
      <c r="Z69" s="445"/>
      <c r="AA69" s="445"/>
      <c r="AB69" s="445"/>
      <c r="AC69" s="445"/>
      <c r="AD69" s="445"/>
    </row>
    <row r="70" spans="1:30" x14ac:dyDescent="0.3">
      <c r="A70" s="444"/>
      <c r="B70" s="445"/>
      <c r="C70" s="445"/>
      <c r="D70" s="445"/>
      <c r="E70" s="445"/>
      <c r="F70" s="445"/>
      <c r="G70" s="445"/>
      <c r="H70" s="445"/>
      <c r="I70" s="445"/>
      <c r="J70" s="445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  <c r="W70" s="445"/>
      <c r="X70" s="445"/>
      <c r="Y70" s="445"/>
      <c r="Z70" s="445"/>
      <c r="AA70" s="445"/>
      <c r="AB70" s="445"/>
      <c r="AC70" s="445"/>
      <c r="AD70" s="445"/>
    </row>
    <row r="71" spans="1:30" x14ac:dyDescent="0.3">
      <c r="A71" s="444"/>
      <c r="B71" s="445"/>
      <c r="C71" s="445"/>
      <c r="D71" s="445"/>
      <c r="E71" s="445"/>
      <c r="F71" s="445"/>
      <c r="G71" s="445"/>
      <c r="H71" s="445"/>
      <c r="I71" s="445"/>
      <c r="J71" s="445"/>
      <c r="K71" s="445"/>
      <c r="L71" s="445"/>
      <c r="M71" s="445"/>
      <c r="N71" s="445"/>
      <c r="O71" s="445"/>
      <c r="P71" s="445"/>
      <c r="Q71" s="445"/>
      <c r="R71" s="445"/>
      <c r="S71" s="445"/>
      <c r="T71" s="445"/>
      <c r="U71" s="445"/>
      <c r="V71" s="445"/>
      <c r="W71" s="445"/>
      <c r="X71" s="445"/>
      <c r="Y71" s="445"/>
      <c r="Z71" s="445"/>
      <c r="AA71" s="445"/>
      <c r="AB71" s="445"/>
      <c r="AC71" s="445"/>
      <c r="AD71" s="445"/>
    </row>
    <row r="72" spans="1:30" x14ac:dyDescent="0.3">
      <c r="A72" s="444"/>
      <c r="B72" s="445"/>
      <c r="C72" s="445"/>
      <c r="D72" s="445"/>
      <c r="E72" s="445"/>
      <c r="F72" s="445"/>
      <c r="G72" s="445"/>
      <c r="H72" s="445"/>
      <c r="I72" s="445"/>
      <c r="J72" s="445"/>
      <c r="K72" s="445"/>
      <c r="L72" s="445"/>
      <c r="M72" s="445"/>
      <c r="N72" s="445"/>
      <c r="O72" s="445"/>
      <c r="P72" s="445"/>
      <c r="Q72" s="445"/>
      <c r="R72" s="445"/>
      <c r="S72" s="445"/>
      <c r="T72" s="445"/>
      <c r="U72" s="445"/>
      <c r="V72" s="445"/>
      <c r="W72" s="445"/>
      <c r="X72" s="445"/>
      <c r="Y72" s="445"/>
      <c r="Z72" s="445"/>
      <c r="AA72" s="445"/>
      <c r="AB72" s="445"/>
      <c r="AC72" s="445"/>
      <c r="AD72" s="445"/>
    </row>
    <row r="73" spans="1:30" x14ac:dyDescent="0.3">
      <c r="A73" s="444"/>
      <c r="B73" s="445"/>
      <c r="C73" s="445"/>
      <c r="D73" s="445"/>
      <c r="E73" s="445"/>
      <c r="F73" s="445"/>
      <c r="G73" s="445"/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445"/>
      <c r="S73" s="445"/>
      <c r="T73" s="445"/>
      <c r="U73" s="445"/>
      <c r="V73" s="445"/>
      <c r="W73" s="445"/>
      <c r="X73" s="445"/>
      <c r="Y73" s="445"/>
      <c r="Z73" s="445"/>
      <c r="AA73" s="445"/>
      <c r="AB73" s="445"/>
      <c r="AC73" s="445"/>
      <c r="AD73" s="445"/>
    </row>
    <row r="74" spans="1:30" x14ac:dyDescent="0.3">
      <c r="A74" s="444"/>
      <c r="B74" s="445"/>
      <c r="C74" s="445"/>
      <c r="D74" s="445"/>
      <c r="E74" s="445"/>
      <c r="F74" s="445"/>
      <c r="G74" s="445"/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445"/>
      <c r="S74" s="445"/>
      <c r="T74" s="445"/>
      <c r="U74" s="445"/>
      <c r="V74" s="445"/>
      <c r="W74" s="445"/>
      <c r="X74" s="445"/>
      <c r="Y74" s="445"/>
      <c r="Z74" s="445"/>
      <c r="AA74" s="445"/>
      <c r="AB74" s="445"/>
      <c r="AC74" s="445"/>
      <c r="AD74" s="445"/>
    </row>
    <row r="75" spans="1:30" x14ac:dyDescent="0.3">
      <c r="A75" s="444"/>
      <c r="B75" s="445"/>
      <c r="C75" s="445"/>
      <c r="D75" s="445"/>
      <c r="E75" s="445"/>
      <c r="F75" s="445"/>
      <c r="G75" s="445"/>
      <c r="H75" s="445"/>
      <c r="I75" s="445"/>
      <c r="J75" s="445"/>
      <c r="K75" s="445"/>
      <c r="L75" s="445"/>
      <c r="M75" s="445"/>
      <c r="N75" s="445"/>
      <c r="O75" s="445"/>
      <c r="P75" s="445"/>
      <c r="Q75" s="445"/>
      <c r="R75" s="445"/>
      <c r="S75" s="445"/>
      <c r="T75" s="445"/>
      <c r="U75" s="445"/>
      <c r="V75" s="445"/>
      <c r="W75" s="445"/>
      <c r="X75" s="445"/>
      <c r="Y75" s="445"/>
      <c r="Z75" s="445"/>
      <c r="AA75" s="445"/>
      <c r="AB75" s="445"/>
      <c r="AC75" s="445"/>
      <c r="AD75" s="445"/>
    </row>
    <row r="76" spans="1:30" x14ac:dyDescent="0.3">
      <c r="A76" s="444"/>
      <c r="B76" s="445"/>
      <c r="C76" s="445"/>
      <c r="D76" s="445"/>
      <c r="E76" s="445"/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</row>
    <row r="77" spans="1:30" x14ac:dyDescent="0.3">
      <c r="A77" s="444"/>
      <c r="B77" s="445"/>
      <c r="C77" s="445"/>
      <c r="D77" s="445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45"/>
      <c r="X77" s="445"/>
      <c r="Y77" s="445"/>
      <c r="Z77" s="445"/>
      <c r="AA77" s="445"/>
      <c r="AB77" s="445"/>
      <c r="AC77" s="445"/>
      <c r="AD77" s="445"/>
    </row>
    <row r="78" spans="1:30" x14ac:dyDescent="0.3">
      <c r="A78" s="444"/>
      <c r="B78" s="445"/>
      <c r="C78" s="445"/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  <c r="W78" s="445"/>
      <c r="X78" s="445"/>
      <c r="Y78" s="445"/>
      <c r="Z78" s="445"/>
      <c r="AA78" s="445"/>
      <c r="AB78" s="445"/>
      <c r="AC78" s="445"/>
      <c r="AD78" s="445"/>
    </row>
    <row r="79" spans="1:30" x14ac:dyDescent="0.3">
      <c r="A79" s="444"/>
      <c r="B79" s="445"/>
      <c r="C79" s="445"/>
      <c r="D79" s="445"/>
      <c r="E79" s="445"/>
      <c r="F79" s="445"/>
      <c r="G79" s="445"/>
      <c r="H79" s="445"/>
      <c r="I79" s="445"/>
      <c r="J79" s="445"/>
      <c r="K79" s="445"/>
      <c r="L79" s="445"/>
      <c r="M79" s="445"/>
      <c r="N79" s="445"/>
      <c r="O79" s="445"/>
      <c r="P79" s="445"/>
      <c r="Q79" s="445"/>
      <c r="R79" s="445"/>
      <c r="S79" s="445"/>
      <c r="T79" s="445"/>
      <c r="U79" s="445"/>
      <c r="V79" s="445"/>
      <c r="W79" s="445"/>
      <c r="X79" s="445"/>
      <c r="Y79" s="445"/>
      <c r="Z79" s="445"/>
      <c r="AA79" s="445"/>
      <c r="AB79" s="445"/>
      <c r="AC79" s="445"/>
      <c r="AD79" s="445"/>
    </row>
    <row r="80" spans="1:30" x14ac:dyDescent="0.3">
      <c r="A80" s="444"/>
      <c r="B80" s="446" t="s">
        <v>586</v>
      </c>
      <c r="C80" s="447"/>
      <c r="D80" s="447"/>
      <c r="E80" s="447"/>
      <c r="F80" s="447"/>
      <c r="G80" s="447"/>
      <c r="H80" s="447"/>
      <c r="I80" s="447"/>
      <c r="J80" s="445"/>
      <c r="K80" s="445"/>
      <c r="L80" s="445"/>
      <c r="M80" s="445"/>
      <c r="N80" s="445"/>
      <c r="O80" s="445"/>
      <c r="P80" s="445"/>
      <c r="Q80" s="445"/>
      <c r="R80" s="445"/>
      <c r="S80" s="445"/>
      <c r="T80" s="445"/>
      <c r="U80" s="445"/>
      <c r="V80" s="445"/>
      <c r="W80" s="445"/>
      <c r="X80" s="445"/>
      <c r="Y80" s="445"/>
      <c r="Z80" s="445"/>
      <c r="AA80" s="445"/>
      <c r="AB80" s="445"/>
      <c r="AC80" s="445"/>
      <c r="AD80" s="445"/>
    </row>
    <row r="81" spans="1:30" x14ac:dyDescent="0.3">
      <c r="A81" s="444"/>
      <c r="B81" s="445"/>
      <c r="C81" s="445"/>
      <c r="D81" s="445"/>
      <c r="E81" s="445"/>
      <c r="F81" s="445"/>
      <c r="G81" s="445"/>
      <c r="H81" s="445"/>
      <c r="I81" s="445"/>
      <c r="J81" s="445"/>
      <c r="K81" s="445"/>
      <c r="L81" s="445"/>
      <c r="M81" s="445"/>
      <c r="N81" s="445"/>
      <c r="O81" s="445"/>
      <c r="P81" s="445"/>
      <c r="Q81" s="445"/>
      <c r="R81" s="445"/>
      <c r="S81" s="445"/>
      <c r="T81" s="445"/>
      <c r="U81" s="445"/>
      <c r="V81" s="445"/>
      <c r="W81" s="445"/>
      <c r="X81" s="445"/>
      <c r="Y81" s="445"/>
      <c r="Z81" s="445"/>
      <c r="AA81" s="445"/>
      <c r="AB81" s="445"/>
      <c r="AC81" s="445"/>
      <c r="AD81" s="445"/>
    </row>
    <row r="82" spans="1:30" x14ac:dyDescent="0.3">
      <c r="A82" s="444"/>
      <c r="B82" s="445"/>
      <c r="C82" s="445"/>
      <c r="D82" s="445"/>
      <c r="E82" s="445"/>
      <c r="F82" s="445"/>
      <c r="G82" s="445"/>
      <c r="H82" s="445"/>
      <c r="I82" s="445"/>
      <c r="J82" s="445"/>
      <c r="K82" s="445"/>
      <c r="L82" s="445"/>
      <c r="M82" s="445"/>
      <c r="N82" s="445"/>
      <c r="O82" s="445"/>
      <c r="P82" s="445"/>
      <c r="Q82" s="445"/>
      <c r="R82" s="445"/>
      <c r="S82" s="445"/>
      <c r="T82" s="445"/>
      <c r="U82" s="445"/>
      <c r="V82" s="445"/>
      <c r="W82" s="445"/>
      <c r="X82" s="445"/>
      <c r="Y82" s="445"/>
      <c r="Z82" s="445"/>
      <c r="AA82" s="445"/>
      <c r="AB82" s="445"/>
      <c r="AC82" s="445"/>
      <c r="AD82" s="445"/>
    </row>
    <row r="83" spans="1:30" x14ac:dyDescent="0.3">
      <c r="A83" s="444"/>
      <c r="B83" s="445"/>
      <c r="C83" s="445"/>
      <c r="D83" s="445"/>
      <c r="E83" s="445"/>
      <c r="F83" s="445"/>
      <c r="G83" s="445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45"/>
      <c r="W83" s="445"/>
      <c r="X83" s="445"/>
      <c r="Y83" s="445"/>
      <c r="Z83" s="445"/>
      <c r="AA83" s="445"/>
      <c r="AB83" s="445"/>
      <c r="AC83" s="445"/>
      <c r="AD83" s="445"/>
    </row>
    <row r="84" spans="1:30" x14ac:dyDescent="0.3">
      <c r="A84" s="444"/>
      <c r="B84" s="445"/>
      <c r="C84" s="445"/>
      <c r="D84" s="445"/>
      <c r="E84" s="445"/>
      <c r="F84" s="445"/>
      <c r="G84" s="445"/>
      <c r="H84" s="445"/>
      <c r="I84" s="445"/>
      <c r="J84" s="445"/>
      <c r="K84" s="445"/>
      <c r="L84" s="445"/>
      <c r="M84" s="445"/>
      <c r="N84" s="445"/>
      <c r="O84" s="445"/>
      <c r="P84" s="445"/>
      <c r="Q84" s="445"/>
      <c r="R84" s="445"/>
      <c r="S84" s="445"/>
      <c r="T84" s="445"/>
      <c r="U84" s="445"/>
      <c r="V84" s="445"/>
      <c r="W84" s="445"/>
      <c r="X84" s="445"/>
      <c r="Y84" s="445"/>
      <c r="Z84" s="445"/>
      <c r="AA84" s="445"/>
      <c r="AB84" s="445"/>
      <c r="AC84" s="445"/>
      <c r="AD84" s="445"/>
    </row>
    <row r="85" spans="1:30" x14ac:dyDescent="0.3">
      <c r="A85" s="444"/>
      <c r="B85" s="445"/>
      <c r="C85" s="445"/>
      <c r="D85" s="445"/>
      <c r="E85" s="445"/>
      <c r="F85" s="445"/>
      <c r="G85" s="445"/>
      <c r="H85" s="445"/>
      <c r="I85" s="445"/>
      <c r="J85" s="445"/>
      <c r="K85" s="445"/>
      <c r="L85" s="445"/>
      <c r="M85" s="445"/>
      <c r="N85" s="445"/>
      <c r="O85" s="445"/>
      <c r="P85" s="445"/>
      <c r="Q85" s="445"/>
      <c r="R85" s="445"/>
      <c r="S85" s="445"/>
      <c r="T85" s="445"/>
      <c r="U85" s="445"/>
      <c r="V85" s="445"/>
      <c r="W85" s="445"/>
      <c r="X85" s="445"/>
      <c r="Y85" s="445"/>
      <c r="Z85" s="445"/>
      <c r="AA85" s="445"/>
      <c r="AB85" s="445"/>
      <c r="AC85" s="445"/>
      <c r="AD85" s="445"/>
    </row>
    <row r="86" spans="1:30" x14ac:dyDescent="0.3">
      <c r="A86" s="444"/>
      <c r="B86" s="445"/>
      <c r="C86" s="445"/>
      <c r="D86" s="445"/>
      <c r="E86" s="445"/>
      <c r="F86" s="445"/>
      <c r="G86" s="445"/>
      <c r="H86" s="445"/>
      <c r="I86" s="445"/>
      <c r="J86" s="445"/>
      <c r="K86" s="445"/>
      <c r="L86" s="445"/>
      <c r="M86" s="445"/>
      <c r="N86" s="445"/>
      <c r="O86" s="445"/>
      <c r="P86" s="445"/>
      <c r="Q86" s="445"/>
      <c r="R86" s="445"/>
      <c r="S86" s="445"/>
      <c r="T86" s="445"/>
      <c r="U86" s="445"/>
      <c r="V86" s="445"/>
      <c r="W86" s="445"/>
      <c r="X86" s="445"/>
      <c r="Y86" s="445"/>
      <c r="Z86" s="445"/>
      <c r="AA86" s="445"/>
      <c r="AB86" s="445"/>
      <c r="AC86" s="445"/>
      <c r="AD86" s="445"/>
    </row>
    <row r="87" spans="1:30" x14ac:dyDescent="0.3">
      <c r="A87" s="444"/>
      <c r="B87" s="445"/>
      <c r="C87" s="445"/>
      <c r="D87" s="445"/>
      <c r="E87" s="445"/>
      <c r="F87" s="445"/>
      <c r="G87" s="445"/>
      <c r="H87" s="445"/>
      <c r="I87" s="445"/>
      <c r="J87" s="445"/>
      <c r="K87" s="445"/>
      <c r="L87" s="445"/>
      <c r="M87" s="445"/>
      <c r="N87" s="445"/>
      <c r="O87" s="445"/>
      <c r="P87" s="445"/>
      <c r="Q87" s="445"/>
      <c r="R87" s="445"/>
      <c r="S87" s="445"/>
      <c r="T87" s="445"/>
      <c r="U87" s="445"/>
      <c r="V87" s="445"/>
      <c r="W87" s="445"/>
      <c r="X87" s="445"/>
      <c r="Y87" s="445"/>
      <c r="Z87" s="445"/>
      <c r="AA87" s="445"/>
      <c r="AB87" s="445"/>
      <c r="AC87" s="445"/>
      <c r="AD87" s="445"/>
    </row>
    <row r="88" spans="1:30" x14ac:dyDescent="0.3">
      <c r="A88" s="444"/>
      <c r="B88" s="445"/>
      <c r="C88" s="445"/>
      <c r="D88" s="445"/>
      <c r="E88" s="445"/>
      <c r="F88" s="445"/>
      <c r="G88" s="445"/>
      <c r="H88" s="445"/>
      <c r="I88" s="445"/>
      <c r="J88" s="445"/>
      <c r="K88" s="445"/>
      <c r="L88" s="445"/>
      <c r="M88" s="445"/>
      <c r="N88" s="445"/>
      <c r="O88" s="445"/>
      <c r="P88" s="445"/>
      <c r="Q88" s="445"/>
      <c r="R88" s="445"/>
      <c r="S88" s="445"/>
      <c r="T88" s="445"/>
      <c r="U88" s="445"/>
      <c r="V88" s="445"/>
      <c r="W88" s="445"/>
      <c r="X88" s="445"/>
      <c r="Y88" s="445"/>
      <c r="Z88" s="445"/>
      <c r="AA88" s="445"/>
      <c r="AB88" s="445"/>
      <c r="AC88" s="445"/>
      <c r="AD88" s="445"/>
    </row>
    <row r="89" spans="1:30" x14ac:dyDescent="0.3">
      <c r="A89" s="444"/>
      <c r="B89" s="445"/>
      <c r="C89" s="445"/>
      <c r="D89" s="445"/>
      <c r="E89" s="445"/>
      <c r="F89" s="445"/>
      <c r="G89" s="445"/>
      <c r="H89" s="445"/>
      <c r="I89" s="445"/>
      <c r="J89" s="445"/>
      <c r="K89" s="445"/>
      <c r="L89" s="445"/>
      <c r="M89" s="445"/>
      <c r="N89" s="445"/>
      <c r="O89" s="445"/>
      <c r="P89" s="445"/>
      <c r="Q89" s="445"/>
      <c r="R89" s="445"/>
      <c r="S89" s="445"/>
      <c r="T89" s="445"/>
      <c r="U89" s="445"/>
      <c r="V89" s="445"/>
      <c r="W89" s="445"/>
      <c r="X89" s="445"/>
      <c r="Y89" s="445"/>
      <c r="Z89" s="445"/>
      <c r="AA89" s="445"/>
      <c r="AB89" s="445"/>
      <c r="AC89" s="445"/>
      <c r="AD89" s="445"/>
    </row>
    <row r="90" spans="1:30" x14ac:dyDescent="0.3">
      <c r="A90" s="444"/>
      <c r="B90" s="445"/>
      <c r="C90" s="445"/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5"/>
      <c r="P90" s="445"/>
      <c r="Q90" s="445"/>
      <c r="R90" s="445"/>
      <c r="S90" s="445"/>
      <c r="T90" s="445"/>
      <c r="U90" s="445"/>
      <c r="V90" s="445"/>
      <c r="W90" s="445"/>
      <c r="X90" s="445"/>
      <c r="Y90" s="445"/>
      <c r="Z90" s="445"/>
      <c r="AA90" s="445"/>
      <c r="AB90" s="445"/>
      <c r="AC90" s="445"/>
      <c r="AD90" s="445"/>
    </row>
    <row r="91" spans="1:30" x14ac:dyDescent="0.3">
      <c r="A91" s="444"/>
      <c r="B91" s="445"/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5"/>
      <c r="O91" s="445"/>
      <c r="P91" s="445"/>
      <c r="Q91" s="445"/>
      <c r="R91" s="445"/>
      <c r="S91" s="445"/>
      <c r="T91" s="445"/>
      <c r="U91" s="445"/>
      <c r="V91" s="445"/>
      <c r="W91" s="445"/>
      <c r="X91" s="445"/>
      <c r="Y91" s="445"/>
      <c r="Z91" s="445"/>
      <c r="AA91" s="445"/>
      <c r="AB91" s="445"/>
      <c r="AC91" s="445"/>
      <c r="AD91" s="445"/>
    </row>
    <row r="92" spans="1:30" x14ac:dyDescent="0.3">
      <c r="A92" s="444"/>
      <c r="B92" s="445"/>
      <c r="C92" s="445"/>
      <c r="D92" s="445"/>
      <c r="E92" s="445"/>
      <c r="F92" s="445"/>
      <c r="G92" s="445"/>
      <c r="H92" s="445"/>
      <c r="I92" s="445"/>
      <c r="J92" s="445"/>
      <c r="K92" s="445"/>
      <c r="L92" s="445"/>
      <c r="M92" s="445"/>
      <c r="N92" s="445"/>
      <c r="O92" s="445"/>
      <c r="P92" s="445"/>
      <c r="Q92" s="445"/>
      <c r="R92" s="445"/>
      <c r="S92" s="445"/>
      <c r="T92" s="445"/>
      <c r="U92" s="445"/>
      <c r="V92" s="445"/>
      <c r="W92" s="445"/>
      <c r="X92" s="445"/>
      <c r="Y92" s="445"/>
      <c r="Z92" s="445"/>
      <c r="AA92" s="445"/>
      <c r="AB92" s="445"/>
      <c r="AC92" s="445"/>
      <c r="AD92" s="445"/>
    </row>
    <row r="93" spans="1:30" x14ac:dyDescent="0.3">
      <c r="A93" s="444"/>
      <c r="B93" s="445"/>
      <c r="C93" s="445"/>
      <c r="D93" s="445"/>
      <c r="E93" s="445"/>
      <c r="F93" s="445"/>
      <c r="G93" s="445"/>
      <c r="H93" s="445"/>
      <c r="I93" s="445"/>
      <c r="J93" s="445"/>
      <c r="K93" s="445"/>
      <c r="L93" s="445"/>
      <c r="M93" s="445"/>
      <c r="N93" s="445"/>
      <c r="O93" s="445"/>
      <c r="P93" s="445"/>
      <c r="Q93" s="445"/>
      <c r="R93" s="445"/>
      <c r="S93" s="445"/>
      <c r="T93" s="445"/>
      <c r="U93" s="445"/>
      <c r="V93" s="445"/>
      <c r="W93" s="445"/>
      <c r="X93" s="445"/>
      <c r="Y93" s="445"/>
      <c r="Z93" s="445"/>
      <c r="AA93" s="445"/>
      <c r="AB93" s="445"/>
      <c r="AC93" s="445"/>
      <c r="AD93" s="445"/>
    </row>
    <row r="94" spans="1:30" x14ac:dyDescent="0.3">
      <c r="A94" s="444"/>
      <c r="B94" s="445"/>
      <c r="C94" s="445"/>
      <c r="D94" s="445"/>
      <c r="E94" s="445"/>
      <c r="F94" s="445"/>
      <c r="G94" s="445"/>
      <c r="H94" s="445"/>
      <c r="I94" s="445"/>
      <c r="J94" s="445"/>
      <c r="K94" s="445"/>
      <c r="L94" s="445"/>
      <c r="M94" s="445"/>
      <c r="N94" s="445"/>
      <c r="O94" s="445"/>
      <c r="P94" s="445"/>
      <c r="Q94" s="445"/>
      <c r="R94" s="445"/>
      <c r="S94" s="445"/>
      <c r="T94" s="445"/>
      <c r="U94" s="445"/>
      <c r="V94" s="445"/>
      <c r="W94" s="445"/>
      <c r="X94" s="445"/>
      <c r="Y94" s="445"/>
      <c r="Z94" s="445"/>
      <c r="AA94" s="445"/>
      <c r="AB94" s="445"/>
      <c r="AC94" s="445"/>
      <c r="AD94" s="445"/>
    </row>
    <row r="95" spans="1:30" x14ac:dyDescent="0.3">
      <c r="A95" s="444"/>
      <c r="B95" s="445"/>
      <c r="C95" s="445"/>
      <c r="D95" s="445"/>
      <c r="E95" s="445"/>
      <c r="F95" s="445"/>
      <c r="G95" s="445"/>
      <c r="H95" s="445"/>
      <c r="I95" s="445"/>
      <c r="J95" s="445"/>
      <c r="K95" s="445"/>
      <c r="L95" s="445"/>
      <c r="M95" s="445"/>
      <c r="N95" s="445"/>
      <c r="O95" s="445"/>
      <c r="P95" s="445"/>
      <c r="Q95" s="445"/>
      <c r="R95" s="445"/>
      <c r="S95" s="445"/>
      <c r="T95" s="445"/>
      <c r="U95" s="445"/>
      <c r="V95" s="445"/>
      <c r="W95" s="445"/>
      <c r="X95" s="445"/>
      <c r="Y95" s="445"/>
      <c r="Z95" s="445"/>
      <c r="AA95" s="445"/>
      <c r="AB95" s="445"/>
      <c r="AC95" s="445"/>
      <c r="AD95" s="445"/>
    </row>
    <row r="96" spans="1:30" x14ac:dyDescent="0.3">
      <c r="A96" s="444"/>
      <c r="B96" s="445"/>
      <c r="C96" s="445"/>
      <c r="D96" s="445"/>
      <c r="E96" s="445"/>
      <c r="F96" s="445"/>
      <c r="G96" s="445"/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445"/>
      <c r="W96" s="445"/>
      <c r="X96" s="445"/>
      <c r="Y96" s="445"/>
      <c r="Z96" s="445"/>
      <c r="AA96" s="445"/>
      <c r="AB96" s="445"/>
      <c r="AC96" s="445"/>
      <c r="AD96" s="445"/>
    </row>
    <row r="97" spans="1:30" x14ac:dyDescent="0.3">
      <c r="A97" s="444"/>
      <c r="B97" s="445"/>
      <c r="C97" s="445"/>
      <c r="D97" s="445"/>
      <c r="E97" s="445"/>
      <c r="F97" s="445"/>
      <c r="G97" s="445"/>
      <c r="H97" s="445"/>
      <c r="I97" s="445"/>
      <c r="J97" s="445"/>
      <c r="K97" s="445"/>
      <c r="L97" s="445"/>
      <c r="M97" s="445"/>
      <c r="N97" s="445"/>
      <c r="O97" s="445"/>
      <c r="P97" s="445"/>
      <c r="Q97" s="445"/>
      <c r="R97" s="445"/>
      <c r="S97" s="445"/>
      <c r="T97" s="445"/>
      <c r="U97" s="445"/>
      <c r="V97" s="445"/>
      <c r="W97" s="445"/>
      <c r="X97" s="445"/>
      <c r="Y97" s="445"/>
      <c r="Z97" s="445"/>
      <c r="AA97" s="445"/>
      <c r="AB97" s="445"/>
      <c r="AC97" s="445"/>
      <c r="AD97" s="445"/>
    </row>
    <row r="98" spans="1:30" x14ac:dyDescent="0.3">
      <c r="A98" s="444"/>
      <c r="B98" s="446" t="s">
        <v>604</v>
      </c>
      <c r="C98" s="447"/>
      <c r="D98" s="447"/>
      <c r="E98" s="451"/>
      <c r="F98" s="451"/>
      <c r="G98" s="451"/>
      <c r="H98" s="451"/>
      <c r="I98" s="451"/>
      <c r="J98" s="445"/>
      <c r="K98" s="445"/>
      <c r="L98" s="445"/>
      <c r="M98" s="445"/>
      <c r="N98" s="445"/>
      <c r="O98" s="445"/>
      <c r="P98" s="445"/>
      <c r="Q98" s="445"/>
      <c r="R98" s="445"/>
      <c r="S98" s="445"/>
      <c r="T98" s="445"/>
      <c r="U98" s="445"/>
      <c r="V98" s="445"/>
      <c r="W98" s="445"/>
      <c r="X98" s="445"/>
      <c r="Y98" s="445"/>
      <c r="Z98" s="445"/>
      <c r="AA98" s="445"/>
      <c r="AB98" s="445"/>
      <c r="AC98" s="445"/>
      <c r="AD98" s="445"/>
    </row>
    <row r="99" spans="1:30" ht="3.6" customHeight="1" x14ac:dyDescent="0.3">
      <c r="A99" s="444"/>
      <c r="B99" s="445"/>
      <c r="C99" s="445"/>
      <c r="D99" s="445"/>
      <c r="E99" s="445"/>
      <c r="F99" s="445"/>
      <c r="G99" s="445"/>
      <c r="H99" s="445"/>
      <c r="I99" s="445"/>
      <c r="J99" s="445"/>
      <c r="K99" s="445"/>
      <c r="L99" s="445"/>
      <c r="M99" s="445"/>
      <c r="N99" s="445"/>
      <c r="O99" s="445"/>
      <c r="P99" s="445"/>
      <c r="Q99" s="445"/>
      <c r="R99" s="445"/>
      <c r="S99" s="445"/>
      <c r="T99" s="445"/>
      <c r="U99" s="445"/>
      <c r="V99" s="445"/>
      <c r="W99" s="445"/>
      <c r="X99" s="445"/>
      <c r="Y99" s="445"/>
      <c r="Z99" s="445"/>
      <c r="AA99" s="445"/>
      <c r="AB99" s="445"/>
      <c r="AC99" s="445"/>
      <c r="AD99" s="445"/>
    </row>
    <row r="100" spans="1:30" x14ac:dyDescent="0.3">
      <c r="A100" s="444"/>
      <c r="B100" s="459" t="s">
        <v>453</v>
      </c>
      <c r="C100" s="463">
        <f>0</f>
        <v>0</v>
      </c>
      <c r="D100" s="463">
        <f>' Forecasted FS&gt;'!N9</f>
        <v>256609.28571428568</v>
      </c>
      <c r="E100" s="445"/>
      <c r="F100" s="445"/>
      <c r="G100" s="445"/>
      <c r="H100" s="445"/>
      <c r="I100" s="445"/>
      <c r="J100" s="445"/>
      <c r="K100" s="445"/>
      <c r="L100" s="445"/>
      <c r="M100" s="445"/>
      <c r="N100" s="445"/>
      <c r="O100" s="445"/>
      <c r="P100" s="445"/>
      <c r="Q100" s="445"/>
      <c r="R100" s="445"/>
      <c r="S100" s="445"/>
      <c r="T100" s="445"/>
      <c r="U100" s="445"/>
      <c r="V100" s="445"/>
      <c r="W100" s="445"/>
      <c r="X100" s="445"/>
      <c r="Y100" s="445"/>
      <c r="Z100" s="445"/>
      <c r="AA100" s="445"/>
      <c r="AB100" s="445"/>
      <c r="AC100" s="445"/>
      <c r="AD100" s="445"/>
    </row>
    <row r="101" spans="1:30" x14ac:dyDescent="0.3">
      <c r="A101" s="444"/>
      <c r="B101" s="459" t="s">
        <v>585</v>
      </c>
      <c r="C101" s="463">
        <f>D102</f>
        <v>68844.285714285681</v>
      </c>
      <c r="D101" s="463">
        <f>' Forecasted FS&gt;'!N12</f>
        <v>187765</v>
      </c>
      <c r="E101" s="445"/>
      <c r="F101" s="445"/>
      <c r="G101" s="445"/>
      <c r="H101" s="445"/>
      <c r="I101" s="445"/>
      <c r="J101" s="445"/>
      <c r="K101" s="445"/>
      <c r="L101" s="445"/>
      <c r="M101" s="445"/>
      <c r="N101" s="445"/>
      <c r="O101" s="445"/>
      <c r="P101" s="445"/>
      <c r="Q101" s="445"/>
      <c r="R101" s="445"/>
      <c r="S101" s="445"/>
      <c r="T101" s="445"/>
      <c r="U101" s="445"/>
      <c r="V101" s="445"/>
      <c r="W101" s="445"/>
      <c r="X101" s="445"/>
      <c r="Y101" s="445"/>
      <c r="Z101" s="445"/>
      <c r="AA101" s="445"/>
      <c r="AB101" s="445"/>
      <c r="AC101" s="445"/>
      <c r="AD101" s="445"/>
    </row>
    <row r="102" spans="1:30" x14ac:dyDescent="0.3">
      <c r="A102" s="444"/>
      <c r="B102" s="459" t="s">
        <v>398</v>
      </c>
      <c r="C102" s="463">
        <f>0</f>
        <v>0</v>
      </c>
      <c r="D102" s="463">
        <f>D100-D101</f>
        <v>68844.285714285681</v>
      </c>
      <c r="E102" s="445"/>
      <c r="F102" s="445"/>
      <c r="G102" s="445"/>
      <c r="H102" s="445"/>
      <c r="I102" s="445"/>
      <c r="J102" s="445"/>
      <c r="K102" s="445"/>
      <c r="L102" s="445"/>
      <c r="M102" s="445"/>
      <c r="N102" s="445"/>
      <c r="O102" s="445"/>
      <c r="P102" s="445"/>
      <c r="Q102" s="445"/>
      <c r="R102" s="445"/>
      <c r="S102" s="445"/>
      <c r="T102" s="445"/>
      <c r="U102" s="445"/>
      <c r="V102" s="445"/>
      <c r="W102" s="445"/>
      <c r="X102" s="445"/>
      <c r="Y102" s="445"/>
      <c r="Z102" s="445"/>
      <c r="AA102" s="445"/>
      <c r="AB102" s="445"/>
      <c r="AC102" s="445"/>
      <c r="AD102" s="445"/>
    </row>
    <row r="103" spans="1:30" x14ac:dyDescent="0.3">
      <c r="A103" s="444"/>
      <c r="B103" s="459" t="s">
        <v>584</v>
      </c>
      <c r="C103" s="463">
        <f>D104</f>
        <v>58578.857142857109</v>
      </c>
      <c r="D103" s="463">
        <f>' Forecasted FS&gt;'!N15-' Forecasted FS&gt;'!N21</f>
        <v>10265.428571428572</v>
      </c>
      <c r="E103" s="445"/>
      <c r="F103" s="445"/>
      <c r="G103" s="445"/>
      <c r="H103" s="445"/>
      <c r="I103" s="445"/>
      <c r="J103" s="445"/>
      <c r="K103" s="445"/>
      <c r="L103" s="445"/>
      <c r="M103" s="445"/>
      <c r="N103" s="445"/>
      <c r="O103" s="445"/>
      <c r="P103" s="445"/>
      <c r="Q103" s="445"/>
      <c r="R103" s="445"/>
      <c r="S103" s="445"/>
      <c r="T103" s="445"/>
      <c r="U103" s="445"/>
      <c r="V103" s="445"/>
      <c r="W103" s="445"/>
      <c r="X103" s="445"/>
      <c r="Y103" s="445"/>
      <c r="Z103" s="445"/>
      <c r="AA103" s="445"/>
      <c r="AB103" s="445"/>
      <c r="AC103" s="445"/>
      <c r="AD103" s="445"/>
    </row>
    <row r="104" spans="1:30" x14ac:dyDescent="0.3">
      <c r="A104" s="444"/>
      <c r="B104" s="459" t="s">
        <v>394</v>
      </c>
      <c r="C104" s="463">
        <f>0</f>
        <v>0</v>
      </c>
      <c r="D104" s="463">
        <f>D102-D103</f>
        <v>58578.857142857109</v>
      </c>
      <c r="E104" s="445"/>
      <c r="F104" s="445"/>
      <c r="G104" s="445"/>
      <c r="H104" s="445"/>
      <c r="I104" s="445"/>
      <c r="J104" s="445"/>
      <c r="K104" s="445"/>
      <c r="L104" s="445"/>
      <c r="M104" s="445"/>
      <c r="N104" s="445"/>
      <c r="O104" s="445"/>
      <c r="P104" s="445"/>
      <c r="Q104" s="445"/>
      <c r="R104" s="445"/>
      <c r="S104" s="445"/>
      <c r="T104" s="445"/>
      <c r="U104" s="445"/>
      <c r="V104" s="445"/>
      <c r="W104" s="445"/>
      <c r="X104" s="445"/>
      <c r="Y104" s="445"/>
      <c r="Z104" s="445"/>
      <c r="AA104" s="445"/>
      <c r="AB104" s="445"/>
      <c r="AC104" s="445"/>
      <c r="AD104" s="445"/>
    </row>
    <row r="105" spans="1:30" x14ac:dyDescent="0.3">
      <c r="A105" s="444"/>
      <c r="B105" s="459" t="s">
        <v>583</v>
      </c>
      <c r="C105" s="463">
        <f>D106</f>
        <v>35165.428571428536</v>
      </c>
      <c r="D105" s="463">
        <f>' Forecasted FS&gt;'!N21-' Forecasted FS&gt;'!N36</f>
        <v>23413.428571428572</v>
      </c>
      <c r="E105" s="445"/>
      <c r="F105" s="445"/>
      <c r="G105" s="445"/>
      <c r="H105" s="445"/>
      <c r="I105" s="445"/>
      <c r="J105" s="445"/>
      <c r="K105" s="445"/>
      <c r="L105" s="445"/>
      <c r="M105" s="445"/>
      <c r="N105" s="445"/>
      <c r="O105" s="445"/>
      <c r="P105" s="445"/>
      <c r="Q105" s="445"/>
      <c r="R105" s="445"/>
      <c r="S105" s="445"/>
      <c r="T105" s="445"/>
      <c r="U105" s="445"/>
      <c r="V105" s="445"/>
      <c r="W105" s="445"/>
      <c r="X105" s="445"/>
      <c r="Y105" s="445"/>
      <c r="Z105" s="445"/>
      <c r="AA105" s="445"/>
      <c r="AB105" s="445"/>
      <c r="AC105" s="445"/>
      <c r="AD105" s="445"/>
    </row>
    <row r="106" spans="1:30" x14ac:dyDescent="0.3">
      <c r="A106" s="444"/>
      <c r="B106" s="459" t="s">
        <v>526</v>
      </c>
      <c r="C106" s="463">
        <f>0</f>
        <v>0</v>
      </c>
      <c r="D106" s="463">
        <f>D104-D105</f>
        <v>35165.428571428536</v>
      </c>
      <c r="E106" s="445"/>
      <c r="F106" s="445"/>
      <c r="G106" s="445"/>
      <c r="H106" s="445"/>
      <c r="I106" s="445"/>
      <c r="J106" s="445"/>
      <c r="K106" s="445"/>
      <c r="L106" s="445"/>
      <c r="M106" s="445"/>
      <c r="N106" s="445"/>
      <c r="O106" s="445"/>
      <c r="P106" s="445"/>
      <c r="Q106" s="445"/>
      <c r="R106" s="445"/>
      <c r="S106" s="445"/>
      <c r="T106" s="445"/>
      <c r="U106" s="445"/>
      <c r="V106" s="445"/>
      <c r="W106" s="445"/>
      <c r="X106" s="445"/>
      <c r="Y106" s="445"/>
      <c r="Z106" s="445"/>
      <c r="AA106" s="445"/>
      <c r="AB106" s="445"/>
      <c r="AC106" s="445"/>
      <c r="AD106" s="445"/>
    </row>
  </sheetData>
  <mergeCells count="30">
    <mergeCell ref="B7:C8"/>
    <mergeCell ref="D7:E8"/>
    <mergeCell ref="F7:G8"/>
    <mergeCell ref="H7:I8"/>
    <mergeCell ref="J7:K8"/>
    <mergeCell ref="B6:C6"/>
    <mergeCell ref="D6:E6"/>
    <mergeCell ref="F6:G6"/>
    <mergeCell ref="H6:I6"/>
    <mergeCell ref="J6:K6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3:C13"/>
    <mergeCell ref="D13:E13"/>
    <mergeCell ref="F13:G13"/>
    <mergeCell ref="H13:I13"/>
    <mergeCell ref="J13:K13"/>
    <mergeCell ref="B11:C12"/>
    <mergeCell ref="D11:E12"/>
    <mergeCell ref="F11:G12"/>
    <mergeCell ref="H11:I12"/>
    <mergeCell ref="J11:K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E785-8370-4B85-BCF9-59CEE2758126}">
  <sheetPr>
    <tabColor theme="4" tint="-0.499984740745262"/>
  </sheetPr>
  <dimension ref="A2:P103"/>
  <sheetViews>
    <sheetView showGridLines="0" zoomScaleNormal="100" workbookViewId="0">
      <pane ySplit="6" topLeftCell="A31" activePane="bottomLeft" state="frozen"/>
      <selection activeCell="O30" sqref="O30"/>
      <selection pane="bottomLeft" activeCell="C12" sqref="C12"/>
    </sheetView>
  </sheetViews>
  <sheetFormatPr defaultRowHeight="14.4" x14ac:dyDescent="0.3"/>
  <cols>
    <col min="1" max="1" width="1.88671875" style="128" customWidth="1"/>
    <col min="2" max="2" width="36.88671875" style="128" bestFit="1" customWidth="1"/>
    <col min="3" max="3" width="13.33203125" style="128" bestFit="1" customWidth="1"/>
    <col min="4" max="9" width="12.77734375" style="128" bestFit="1" customWidth="1"/>
    <col min="10" max="10" width="11.33203125" style="128" bestFit="1" customWidth="1"/>
    <col min="11" max="14" width="12.44140625" style="128" bestFit="1" customWidth="1"/>
    <col min="15" max="15" width="9.44140625" style="128" bestFit="1" customWidth="1"/>
    <col min="16" max="16384" width="8.88671875" style="128"/>
  </cols>
  <sheetData>
    <row r="2" spans="1:14" x14ac:dyDescent="0.3">
      <c r="B2" s="309" t="s">
        <v>501</v>
      </c>
    </row>
    <row r="3" spans="1:14" ht="3.6" customHeight="1" x14ac:dyDescent="0.3"/>
    <row r="4" spans="1:14" x14ac:dyDescent="0.3">
      <c r="B4" s="217" t="str">
        <f>"Historical Financial Statements - "&amp; 'Raw Data Sheet'!B1</f>
        <v>Historical Financial Statements - INFOSYS LTD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308"/>
      <c r="N4" s="308"/>
    </row>
    <row r="5" spans="1:14" x14ac:dyDescent="0.3">
      <c r="B5" s="275" t="s">
        <v>359</v>
      </c>
      <c r="C5" s="215">
        <f>'Raw Data Sheet'!E16</f>
        <v>43921</v>
      </c>
      <c r="D5" s="215">
        <f t="shared" ref="D5:N5" si="0">C5+365</f>
        <v>44286</v>
      </c>
      <c r="E5" s="215">
        <f t="shared" si="0"/>
        <v>44651</v>
      </c>
      <c r="F5" s="215">
        <f t="shared" si="0"/>
        <v>45016</v>
      </c>
      <c r="G5" s="215">
        <f t="shared" si="0"/>
        <v>45381</v>
      </c>
      <c r="H5" s="215">
        <f t="shared" si="0"/>
        <v>45746</v>
      </c>
      <c r="I5" s="215">
        <f t="shared" si="0"/>
        <v>46111</v>
      </c>
      <c r="J5" s="215">
        <f t="shared" si="0"/>
        <v>46476</v>
      </c>
      <c r="K5" s="215">
        <f t="shared" si="0"/>
        <v>46841</v>
      </c>
      <c r="L5" s="215">
        <f t="shared" si="0"/>
        <v>47206</v>
      </c>
      <c r="M5" s="215">
        <f t="shared" si="0"/>
        <v>47571</v>
      </c>
      <c r="N5" s="215">
        <f t="shared" si="0"/>
        <v>47936</v>
      </c>
    </row>
    <row r="6" spans="1:14" x14ac:dyDescent="0.3">
      <c r="B6" s="275" t="s">
        <v>405</v>
      </c>
      <c r="C6" s="216">
        <v>1</v>
      </c>
      <c r="D6" s="216">
        <v>2</v>
      </c>
      <c r="E6" s="216">
        <v>3</v>
      </c>
      <c r="F6" s="216">
        <v>4</v>
      </c>
      <c r="G6" s="216">
        <v>5</v>
      </c>
      <c r="H6" s="216">
        <v>6</v>
      </c>
      <c r="I6" s="216">
        <v>7</v>
      </c>
      <c r="J6" s="216">
        <v>8</v>
      </c>
      <c r="K6" s="216">
        <v>9</v>
      </c>
      <c r="L6" s="216">
        <v>10</v>
      </c>
      <c r="M6" s="216">
        <v>11</v>
      </c>
      <c r="N6" s="216">
        <v>12</v>
      </c>
    </row>
    <row r="7" spans="1:14" s="151" customFormat="1" ht="3.6" customHeight="1" x14ac:dyDescent="0.3">
      <c r="B7" s="166"/>
      <c r="C7" s="164"/>
      <c r="D7" s="164"/>
      <c r="E7" s="164"/>
      <c r="F7" s="164"/>
      <c r="G7" s="164"/>
      <c r="H7" s="164"/>
      <c r="I7" s="164"/>
      <c r="J7" s="165"/>
      <c r="K7" s="164"/>
      <c r="L7" s="164"/>
      <c r="M7" s="164"/>
      <c r="N7" s="164"/>
    </row>
    <row r="8" spans="1:14" x14ac:dyDescent="0.3">
      <c r="A8" s="151" t="s">
        <v>240</v>
      </c>
      <c r="B8" s="226" t="s">
        <v>404</v>
      </c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</row>
    <row r="9" spans="1:14" s="155" customFormat="1" x14ac:dyDescent="0.3">
      <c r="B9" s="155" t="s">
        <v>403</v>
      </c>
      <c r="C9" s="155">
        <f>IFERROR('Raw Data Sheet'!E17,0)</f>
        <v>90791</v>
      </c>
      <c r="D9" s="155">
        <f>IFERROR('Raw Data Sheet'!F17,0)</f>
        <v>100472</v>
      </c>
      <c r="E9" s="155">
        <f>IFERROR('Raw Data Sheet'!G17,0)</f>
        <v>121641</v>
      </c>
      <c r="F9" s="155">
        <f>IFERROR('Raw Data Sheet'!H17,0)</f>
        <v>146767</v>
      </c>
      <c r="G9" s="155">
        <f>IFERROR('Raw Data Sheet'!I17,0)</f>
        <v>153670</v>
      </c>
      <c r="H9" s="155">
        <f>IFERROR('Raw Data Sheet'!J17,0)</f>
        <v>162990</v>
      </c>
      <c r="I9" s="155">
        <f>IFERROR('Raw Data Sheet'!K17,0)</f>
        <v>178650</v>
      </c>
      <c r="J9" s="155">
        <f>FORECAST(J6,$C$9:$I$9,$C$6:$I$6)</f>
        <v>196517.57142857142</v>
      </c>
      <c r="K9" s="155">
        <f>FORECAST(K6,$C$9:$I$9,$C$6:$I$6)</f>
        <v>211540.49999999997</v>
      </c>
      <c r="L9" s="155">
        <f>FORECAST(L6,$C$9:$I$9,$C$6:$I$6)</f>
        <v>226563.42857142855</v>
      </c>
      <c r="M9" s="155">
        <f>FORECAST(M6,$C$9:$I$9,$C$6:$I$6)</f>
        <v>241586.35714285713</v>
      </c>
      <c r="N9" s="155">
        <f>FORECAST(N6,$C$9:$I$9,$C$6:$I$6)</f>
        <v>256609.28571428568</v>
      </c>
    </row>
    <row r="10" spans="1:14" x14ac:dyDescent="0.3">
      <c r="B10" s="152" t="s">
        <v>402</v>
      </c>
      <c r="C10" s="163" t="s">
        <v>401</v>
      </c>
      <c r="D10" s="152">
        <f t="shared" ref="D10:N10" si="1">D9/C9-1</f>
        <v>0.10662951173574475</v>
      </c>
      <c r="E10" s="152">
        <f t="shared" si="1"/>
        <v>0.21069551715900947</v>
      </c>
      <c r="F10" s="152">
        <f t="shared" si="1"/>
        <v>0.20655864387829759</v>
      </c>
      <c r="G10" s="152">
        <f t="shared" si="1"/>
        <v>4.7033733741236095E-2</v>
      </c>
      <c r="H10" s="152">
        <f t="shared" si="1"/>
        <v>6.0649443612936782E-2</v>
      </c>
      <c r="I10" s="152">
        <f t="shared" si="1"/>
        <v>9.6079514080618544E-2</v>
      </c>
      <c r="J10" s="152">
        <f t="shared" si="1"/>
        <v>0.10001439366678655</v>
      </c>
      <c r="K10" s="152">
        <f t="shared" si="1"/>
        <v>7.6445726772524036E-2</v>
      </c>
      <c r="L10" s="152">
        <f t="shared" si="1"/>
        <v>7.1016796175808361E-2</v>
      </c>
      <c r="M10" s="152">
        <f t="shared" si="1"/>
        <v>6.6307826758069677E-2</v>
      </c>
      <c r="N10" s="152">
        <f t="shared" si="1"/>
        <v>6.2184507225898633E-2</v>
      </c>
    </row>
    <row r="12" spans="1:14" s="155" customFormat="1" x14ac:dyDescent="0.3">
      <c r="B12" s="155" t="s">
        <v>400</v>
      </c>
      <c r="C12" s="155">
        <f>IFERROR(SUM('Raw Data Sheet'!E20:E22)-1*'Raw Data Sheet'!E19,0)</f>
        <v>62210</v>
      </c>
      <c r="D12" s="155">
        <f>IFERROR(SUM('Raw Data Sheet'!F20:F22)-1*'Raw Data Sheet'!F19,0)</f>
        <v>68490</v>
      </c>
      <c r="E12" s="155">
        <f>IFERROR(SUM('Raw Data Sheet'!G20:G22)-1*'Raw Data Sheet'!G19,0)</f>
        <v>84819</v>
      </c>
      <c r="F12" s="155">
        <f>IFERROR(SUM('Raw Data Sheet'!H20:H22)-1*'Raw Data Sheet'!H19,0)</f>
        <v>104880</v>
      </c>
      <c r="G12" s="155">
        <f>IFERROR(SUM('Raw Data Sheet'!I20:I22)-1*'Raw Data Sheet'!I19,0)</f>
        <v>110030</v>
      </c>
      <c r="H12" s="155">
        <f>IFERROR(SUM('Raw Data Sheet'!J20:J22)-1*'Raw Data Sheet'!J19,0)</f>
        <v>116585</v>
      </c>
      <c r="I12" s="155">
        <f>IFERROR(SUM('Raw Data Sheet'!K20:K22)-1*'Raw Data Sheet'!K19,0)</f>
        <v>128257</v>
      </c>
      <c r="J12" s="155">
        <f>FORECAST(J6,$C$12:$I$12,$C$6:$I$6)</f>
        <v>142116.14285714284</v>
      </c>
      <c r="K12" s="155">
        <f>FORECAST(K6,$C$12:$I$12,$C$6:$I$6)</f>
        <v>153528.35714285716</v>
      </c>
      <c r="L12" s="155">
        <f>FORECAST(L6,$C$12:$I$12,$C$6:$I$6)</f>
        <v>164940.57142857142</v>
      </c>
      <c r="M12" s="155">
        <f>FORECAST(M6,$C$12:$I$12,$C$6:$I$6)</f>
        <v>176352.78571428571</v>
      </c>
      <c r="N12" s="155">
        <f>FORECAST(N6,$C$12:$I$12,$C$6:$I$6)</f>
        <v>187765</v>
      </c>
    </row>
    <row r="13" spans="1:14" x14ac:dyDescent="0.3">
      <c r="B13" s="152" t="s">
        <v>399</v>
      </c>
      <c r="C13" s="152">
        <f t="shared" ref="C13:N13" si="2">C12/C9</f>
        <v>0.68520007489729162</v>
      </c>
      <c r="D13" s="152">
        <f t="shared" si="2"/>
        <v>0.68168245879448996</v>
      </c>
      <c r="E13" s="152">
        <f t="shared" si="2"/>
        <v>0.69728956519594543</v>
      </c>
      <c r="F13" s="152">
        <f t="shared" si="2"/>
        <v>0.71460205632056251</v>
      </c>
      <c r="G13" s="152">
        <f t="shared" si="2"/>
        <v>0.71601483698835167</v>
      </c>
      <c r="H13" s="152">
        <f t="shared" si="2"/>
        <v>0.71528928155101545</v>
      </c>
      <c r="I13" s="152">
        <f t="shared" si="2"/>
        <v>0.71792331374195351</v>
      </c>
      <c r="J13" s="152">
        <f t="shared" si="2"/>
        <v>0.72317270065999184</v>
      </c>
      <c r="K13" s="152">
        <f t="shared" si="2"/>
        <v>0.72576342186416876</v>
      </c>
      <c r="L13" s="152">
        <f t="shared" si="2"/>
        <v>0.72801057288277526</v>
      </c>
      <c r="M13" s="152">
        <f t="shared" si="2"/>
        <v>0.72997824794387334</v>
      </c>
      <c r="N13" s="152">
        <f t="shared" si="2"/>
        <v>0.73171553195102068</v>
      </c>
    </row>
    <row r="15" spans="1:14" s="162" customFormat="1" x14ac:dyDescent="0.3">
      <c r="B15" s="153" t="s">
        <v>398</v>
      </c>
      <c r="C15" s="153">
        <f t="shared" ref="C15:N15" si="3">C9-C12</f>
        <v>28581</v>
      </c>
      <c r="D15" s="153">
        <f t="shared" si="3"/>
        <v>31982</v>
      </c>
      <c r="E15" s="153">
        <f t="shared" si="3"/>
        <v>36822</v>
      </c>
      <c r="F15" s="153">
        <f t="shared" si="3"/>
        <v>41887</v>
      </c>
      <c r="G15" s="153">
        <f t="shared" si="3"/>
        <v>43640</v>
      </c>
      <c r="H15" s="153">
        <f t="shared" si="3"/>
        <v>46405</v>
      </c>
      <c r="I15" s="153">
        <f t="shared" si="3"/>
        <v>50393</v>
      </c>
      <c r="J15" s="153">
        <f t="shared" si="3"/>
        <v>54401.42857142858</v>
      </c>
      <c r="K15" s="153">
        <f t="shared" si="3"/>
        <v>58012.142857142811</v>
      </c>
      <c r="L15" s="153">
        <f t="shared" si="3"/>
        <v>61622.85714285713</v>
      </c>
      <c r="M15" s="153">
        <f t="shared" si="3"/>
        <v>65233.57142857142</v>
      </c>
      <c r="N15" s="153">
        <f t="shared" si="3"/>
        <v>68844.285714285681</v>
      </c>
    </row>
    <row r="16" spans="1:14" x14ac:dyDescent="0.3">
      <c r="B16" s="152" t="s">
        <v>397</v>
      </c>
      <c r="C16" s="152">
        <f t="shared" ref="C16:N16" si="4">C15/C9</f>
        <v>0.31479992510270843</v>
      </c>
      <c r="D16" s="152">
        <f t="shared" si="4"/>
        <v>0.31831754120550998</v>
      </c>
      <c r="E16" s="152">
        <f t="shared" si="4"/>
        <v>0.30271043480405457</v>
      </c>
      <c r="F16" s="152">
        <f t="shared" si="4"/>
        <v>0.28539794367943749</v>
      </c>
      <c r="G16" s="152">
        <f t="shared" si="4"/>
        <v>0.28398516301164833</v>
      </c>
      <c r="H16" s="152">
        <f t="shared" si="4"/>
        <v>0.2847107184489846</v>
      </c>
      <c r="I16" s="152">
        <f t="shared" si="4"/>
        <v>0.28207668625804644</v>
      </c>
      <c r="J16" s="152">
        <f t="shared" si="4"/>
        <v>0.27682729934000816</v>
      </c>
      <c r="K16" s="152">
        <f t="shared" si="4"/>
        <v>0.2742365781358313</v>
      </c>
      <c r="L16" s="152">
        <f t="shared" si="4"/>
        <v>0.27198942711722479</v>
      </c>
      <c r="M16" s="152">
        <f t="shared" si="4"/>
        <v>0.27002175205612661</v>
      </c>
      <c r="N16" s="152">
        <f t="shared" si="4"/>
        <v>0.26828446804897932</v>
      </c>
    </row>
    <row r="18" spans="2:16" s="155" customFormat="1" x14ac:dyDescent="0.3">
      <c r="B18" s="155" t="s">
        <v>396</v>
      </c>
      <c r="C18" s="155">
        <f>IFERROR(SUM('Raw Data Sheet'!E23:E24),0)</f>
        <v>6314</v>
      </c>
      <c r="D18" s="155">
        <f>IFERROR(SUM('Raw Data Sheet'!F23:F24),0)</f>
        <v>4093</v>
      </c>
      <c r="E18" s="155">
        <f>IFERROR(SUM('Raw Data Sheet'!G23:G24),0)</f>
        <v>5331</v>
      </c>
      <c r="F18" s="155">
        <f>IFERROR(SUM('Raw Data Sheet'!H23:H24),0)</f>
        <v>6757</v>
      </c>
      <c r="G18" s="155">
        <f>IFERROR(SUM('Raw Data Sheet'!I23:I24),0)</f>
        <v>7215</v>
      </c>
      <c r="H18" s="155">
        <f>IFERROR(SUM('Raw Data Sheet'!J23:J24),0)</f>
        <v>7169</v>
      </c>
      <c r="I18" s="155">
        <f>IFERROR(SUM('Raw Data Sheet'!K23:K24),0)</f>
        <v>8113</v>
      </c>
      <c r="J18" s="155">
        <f>FORECAST(J6,$C$18:$I$18,$C$6:$I$6)</f>
        <v>8346.4285714285725</v>
      </c>
      <c r="K18" s="155">
        <f>FORECAST(K6,$C$18:$I$18,$C$6:$I$6)</f>
        <v>8826.1785714285725</v>
      </c>
      <c r="L18" s="155">
        <f>FORECAST(L6,$C$18:$I$18,$C$6:$I$6)</f>
        <v>9305.9285714285725</v>
      </c>
      <c r="M18" s="155">
        <f>FORECAST(M6,$C$18:$I$18,$C$6:$I$6)</f>
        <v>9785.6785714285725</v>
      </c>
      <c r="N18" s="155">
        <f>FORECAST(N6,$C$18:$I$18,$C$6:$I$6)</f>
        <v>10265.428571428572</v>
      </c>
    </row>
    <row r="19" spans="2:16" x14ac:dyDescent="0.3">
      <c r="B19" s="152" t="s">
        <v>395</v>
      </c>
      <c r="C19" s="152">
        <f t="shared" ref="C19:N19" si="5">C18/C9</f>
        <v>6.9544338095185648E-2</v>
      </c>
      <c r="D19" s="152">
        <f t="shared" si="5"/>
        <v>4.0737717971176049E-2</v>
      </c>
      <c r="E19" s="152">
        <f t="shared" si="5"/>
        <v>4.3825683774385282E-2</v>
      </c>
      <c r="F19" s="152">
        <f t="shared" si="5"/>
        <v>4.6038959711651804E-2</v>
      </c>
      <c r="G19" s="152">
        <f t="shared" si="5"/>
        <v>4.6951259191774584E-2</v>
      </c>
      <c r="H19" s="152">
        <f t="shared" si="5"/>
        <v>4.3984293514939564E-2</v>
      </c>
      <c r="I19" s="152">
        <f t="shared" si="5"/>
        <v>4.5412818359921635E-2</v>
      </c>
      <c r="J19" s="152">
        <f t="shared" si="5"/>
        <v>4.247166556534749E-2</v>
      </c>
      <c r="K19" s="152">
        <f t="shared" si="5"/>
        <v>4.1723351185369108E-2</v>
      </c>
      <c r="L19" s="152">
        <f t="shared" si="5"/>
        <v>4.1074275005927079E-2</v>
      </c>
      <c r="M19" s="152">
        <f t="shared" si="5"/>
        <v>4.0505923791226389E-2</v>
      </c>
      <c r="N19" s="152">
        <f t="shared" si="5"/>
        <v>4.0004119659404383E-2</v>
      </c>
      <c r="O19" s="155"/>
      <c r="P19" s="155"/>
    </row>
    <row r="21" spans="2:16" s="162" customFormat="1" x14ac:dyDescent="0.3">
      <c r="B21" s="153" t="s">
        <v>394</v>
      </c>
      <c r="C21" s="153">
        <f t="shared" ref="C21:N21" si="6">C15-C18</f>
        <v>22267</v>
      </c>
      <c r="D21" s="153">
        <f t="shared" si="6"/>
        <v>27889</v>
      </c>
      <c r="E21" s="153">
        <f t="shared" si="6"/>
        <v>31491</v>
      </c>
      <c r="F21" s="153">
        <f t="shared" si="6"/>
        <v>35130</v>
      </c>
      <c r="G21" s="153">
        <f t="shared" si="6"/>
        <v>36425</v>
      </c>
      <c r="H21" s="153">
        <f t="shared" si="6"/>
        <v>39236</v>
      </c>
      <c r="I21" s="153">
        <f t="shared" si="6"/>
        <v>42280</v>
      </c>
      <c r="J21" s="153">
        <f t="shared" si="6"/>
        <v>46055.000000000007</v>
      </c>
      <c r="K21" s="153">
        <f t="shared" si="6"/>
        <v>49185.964285714239</v>
      </c>
      <c r="L21" s="153">
        <f t="shared" si="6"/>
        <v>52316.928571428558</v>
      </c>
      <c r="M21" s="153">
        <f t="shared" si="6"/>
        <v>55447.892857142848</v>
      </c>
      <c r="N21" s="153">
        <f t="shared" si="6"/>
        <v>58578.857142857109</v>
      </c>
    </row>
    <row r="22" spans="2:16" x14ac:dyDescent="0.3">
      <c r="B22" s="152" t="s">
        <v>393</v>
      </c>
      <c r="C22" s="152">
        <f t="shared" ref="C22:N22" si="7">C21/C9</f>
        <v>0.24525558700752279</v>
      </c>
      <c r="D22" s="152">
        <f t="shared" si="7"/>
        <v>0.27757982323433394</v>
      </c>
      <c r="E22" s="152">
        <f t="shared" si="7"/>
        <v>0.25888475102966929</v>
      </c>
      <c r="F22" s="152">
        <f t="shared" si="7"/>
        <v>0.23935898396778568</v>
      </c>
      <c r="G22" s="152">
        <f t="shared" si="7"/>
        <v>0.23703390381987374</v>
      </c>
      <c r="H22" s="152">
        <f t="shared" si="7"/>
        <v>0.24072642493404503</v>
      </c>
      <c r="I22" s="152">
        <f t="shared" si="7"/>
        <v>0.23666386789812482</v>
      </c>
      <c r="J22" s="152">
        <f t="shared" si="7"/>
        <v>0.2343556337746607</v>
      </c>
      <c r="K22" s="152">
        <f t="shared" si="7"/>
        <v>0.23251322695046217</v>
      </c>
      <c r="L22" s="152">
        <f t="shared" si="7"/>
        <v>0.23091515211129771</v>
      </c>
      <c r="M22" s="152">
        <f t="shared" si="7"/>
        <v>0.22951582826490022</v>
      </c>
      <c r="N22" s="152">
        <f t="shared" si="7"/>
        <v>0.22828034838957492</v>
      </c>
    </row>
    <row r="24" spans="2:16" s="155" customFormat="1" x14ac:dyDescent="0.3">
      <c r="B24" s="155" t="s">
        <v>246</v>
      </c>
      <c r="C24" s="155">
        <f>IFERROR('Raw Data Sheet'!E27,0)</f>
        <v>170</v>
      </c>
      <c r="D24" s="155">
        <f>IFERROR('Raw Data Sheet'!F27,0)</f>
        <v>195</v>
      </c>
      <c r="E24" s="155">
        <f>IFERROR('Raw Data Sheet'!G27,0)</f>
        <v>200</v>
      </c>
      <c r="F24" s="155">
        <f>IFERROR('Raw Data Sheet'!H27,0)</f>
        <v>284</v>
      </c>
      <c r="G24" s="155">
        <f>IFERROR('Raw Data Sheet'!I27,0)</f>
        <v>470</v>
      </c>
      <c r="H24" s="155">
        <f>IFERROR('Raw Data Sheet'!J27,0)</f>
        <v>416</v>
      </c>
      <c r="I24" s="155">
        <f>IFERROR('Raw Data Sheet'!K27,0)</f>
        <v>416</v>
      </c>
      <c r="J24" s="155">
        <f>FORECAST(J6,$C$24:$I$24,$C$6:$I$6)</f>
        <v>514.42857142857133</v>
      </c>
      <c r="K24" s="155">
        <f>FORECAST(K6,$C$24:$I$24,$C$6:$I$6)</f>
        <v>566.21428571428567</v>
      </c>
      <c r="L24" s="155">
        <f>FORECAST(L6,$C$24:$I$24,$C$6:$I$6)</f>
        <v>618</v>
      </c>
      <c r="M24" s="155">
        <f>FORECAST(M6,$C$24:$I$24,$C$6:$I$6)</f>
        <v>669.78571428571422</v>
      </c>
      <c r="N24" s="155">
        <f>FORECAST(N6,$C$24:$I$24,$C$6:$I$6)</f>
        <v>721.57142857142844</v>
      </c>
    </row>
    <row r="25" spans="2:16" x14ac:dyDescent="0.3">
      <c r="B25" s="152" t="s">
        <v>392</v>
      </c>
      <c r="C25" s="152">
        <f t="shared" ref="C25:N25" si="8">C24/C9</f>
        <v>1.8724322895441179E-3</v>
      </c>
      <c r="D25" s="152">
        <f t="shared" si="8"/>
        <v>1.9408392387928975E-3</v>
      </c>
      <c r="E25" s="152">
        <f t="shared" si="8"/>
        <v>1.6441824713706726E-3</v>
      </c>
      <c r="F25" s="152">
        <f t="shared" si="8"/>
        <v>1.9350398931639945E-3</v>
      </c>
      <c r="G25" s="152">
        <f t="shared" si="8"/>
        <v>3.0585019847725646E-3</v>
      </c>
      <c r="H25" s="152">
        <f t="shared" si="8"/>
        <v>2.5523038223203877E-3</v>
      </c>
      <c r="I25" s="152">
        <f t="shared" si="8"/>
        <v>2.3285754268122026E-3</v>
      </c>
      <c r="J25" s="152">
        <f t="shared" si="8"/>
        <v>2.6177230244042149E-3</v>
      </c>
      <c r="K25" s="152">
        <f t="shared" si="8"/>
        <v>2.6766235577314309E-3</v>
      </c>
      <c r="L25" s="152">
        <f t="shared" si="8"/>
        <v>2.7277129583390086E-3</v>
      </c>
      <c r="M25" s="152">
        <f t="shared" si="8"/>
        <v>2.7724484205440881E-3</v>
      </c>
      <c r="N25" s="152">
        <f t="shared" si="8"/>
        <v>2.8119458988512271E-3</v>
      </c>
    </row>
    <row r="27" spans="2:16" s="155" customFormat="1" ht="13.8" customHeight="1" x14ac:dyDescent="0.3">
      <c r="B27" s="155" t="s">
        <v>247</v>
      </c>
      <c r="C27" s="155">
        <f>IFERROR('Raw Data Sheet'!E26,0)</f>
        <v>2893</v>
      </c>
      <c r="D27" s="155">
        <f>IFERROR('Raw Data Sheet'!F26,0)</f>
        <v>3267</v>
      </c>
      <c r="E27" s="155">
        <f>IFERROR('Raw Data Sheet'!G26,0)</f>
        <v>3476</v>
      </c>
      <c r="F27" s="155">
        <f>IFERROR('Raw Data Sheet'!H26,0)</f>
        <v>4225</v>
      </c>
      <c r="G27" s="155">
        <f>IFERROR('Raw Data Sheet'!I26,0)</f>
        <v>4678</v>
      </c>
      <c r="H27" s="155">
        <f>IFERROR('Raw Data Sheet'!J26,0)</f>
        <v>4812</v>
      </c>
      <c r="I27" s="155">
        <f>IFERROR('Raw Data Sheet'!K26,0)</f>
        <v>4902</v>
      </c>
      <c r="J27" s="155">
        <f>FORECAST(J6,$C$27:$I$27,$C$6:$I$6)</f>
        <v>5510.2857142857138</v>
      </c>
      <c r="K27" s="155">
        <f>FORECAST(K6,$C$27:$I$27,$C$6:$I$6)</f>
        <v>5878.8214285714284</v>
      </c>
      <c r="L27" s="155">
        <f>FORECAST(L6,$C$27:$I$27,$C$6:$I$6)</f>
        <v>6247.3571428571431</v>
      </c>
      <c r="M27" s="155">
        <f>FORECAST(M6,$C$27:$I$27,$C$6:$I$6)</f>
        <v>6615.8928571428569</v>
      </c>
      <c r="N27" s="155">
        <f>FORECAST(N6,$C$27:$I$27,$C$6:$I$6)</f>
        <v>6984.4285714285716</v>
      </c>
    </row>
    <row r="28" spans="2:16" x14ac:dyDescent="0.3">
      <c r="B28" s="152" t="s">
        <v>391</v>
      </c>
      <c r="C28" s="152">
        <f t="shared" ref="C28:N28" si="9">C27/C9</f>
        <v>3.1864391845006661E-2</v>
      </c>
      <c r="D28" s="152">
        <f t="shared" si="9"/>
        <v>3.2516522016084085E-2</v>
      </c>
      <c r="E28" s="152">
        <f t="shared" si="9"/>
        <v>2.8575891352422292E-2</v>
      </c>
      <c r="F28" s="152">
        <f t="shared" si="9"/>
        <v>2.8787125171189708E-2</v>
      </c>
      <c r="G28" s="152">
        <f t="shared" si="9"/>
        <v>3.0441855925034164E-2</v>
      </c>
      <c r="H28" s="152">
        <f t="shared" si="9"/>
        <v>2.9523283637032948E-2</v>
      </c>
      <c r="I28" s="152">
        <f t="shared" si="9"/>
        <v>2.7439126784214944E-2</v>
      </c>
      <c r="J28" s="152">
        <f t="shared" si="9"/>
        <v>2.8039659121721575E-2</v>
      </c>
      <c r="K28" s="152">
        <f t="shared" si="9"/>
        <v>2.7790524408193368E-2</v>
      </c>
      <c r="L28" s="152">
        <f t="shared" si="9"/>
        <v>2.7574428857513256E-2</v>
      </c>
      <c r="M28" s="152">
        <f t="shared" si="9"/>
        <v>2.7385208897498646E-2</v>
      </c>
      <c r="N28" s="152">
        <f t="shared" si="9"/>
        <v>2.7218144316122624E-2</v>
      </c>
    </row>
    <row r="30" spans="2:16" s="162" customFormat="1" x14ac:dyDescent="0.3">
      <c r="B30" s="153" t="s">
        <v>390</v>
      </c>
      <c r="C30" s="153">
        <f t="shared" ref="C30:N30" si="10">C21-SUM(C24+C27)</f>
        <v>19204</v>
      </c>
      <c r="D30" s="153">
        <f t="shared" si="10"/>
        <v>24427</v>
      </c>
      <c r="E30" s="153">
        <f t="shared" si="10"/>
        <v>27815</v>
      </c>
      <c r="F30" s="153">
        <f t="shared" si="10"/>
        <v>30621</v>
      </c>
      <c r="G30" s="153">
        <f t="shared" si="10"/>
        <v>31277</v>
      </c>
      <c r="H30" s="153">
        <f t="shared" si="10"/>
        <v>34008</v>
      </c>
      <c r="I30" s="153">
        <f t="shared" si="10"/>
        <v>36962</v>
      </c>
      <c r="J30" s="153">
        <f t="shared" si="10"/>
        <v>40030.285714285725</v>
      </c>
      <c r="K30" s="153">
        <f t="shared" si="10"/>
        <v>42740.928571428522</v>
      </c>
      <c r="L30" s="153">
        <f t="shared" si="10"/>
        <v>45451.571428571413</v>
      </c>
      <c r="M30" s="153">
        <f t="shared" si="10"/>
        <v>48162.214285714275</v>
      </c>
      <c r="N30" s="153">
        <f t="shared" si="10"/>
        <v>50872.857142857109</v>
      </c>
    </row>
    <row r="31" spans="2:16" x14ac:dyDescent="0.3">
      <c r="B31" s="152" t="s">
        <v>389</v>
      </c>
      <c r="C31" s="152">
        <f t="shared" ref="C31:N31" si="11">C30/C9</f>
        <v>0.211518762872972</v>
      </c>
      <c r="D31" s="152">
        <f t="shared" si="11"/>
        <v>0.24312246197945697</v>
      </c>
      <c r="E31" s="152">
        <f t="shared" si="11"/>
        <v>0.2286646772058763</v>
      </c>
      <c r="F31" s="152">
        <f t="shared" si="11"/>
        <v>0.20863681890343197</v>
      </c>
      <c r="G31" s="152">
        <f t="shared" si="11"/>
        <v>0.20353354591006703</v>
      </c>
      <c r="H31" s="152">
        <f t="shared" si="11"/>
        <v>0.20865083747469171</v>
      </c>
      <c r="I31" s="152">
        <f t="shared" si="11"/>
        <v>0.20689616568709768</v>
      </c>
      <c r="J31" s="152">
        <f t="shared" si="11"/>
        <v>0.20369825162853492</v>
      </c>
      <c r="K31" s="152">
        <f t="shared" si="11"/>
        <v>0.20204607898453736</v>
      </c>
      <c r="L31" s="152">
        <f t="shared" si="11"/>
        <v>0.20061301029544543</v>
      </c>
      <c r="M31" s="152">
        <f t="shared" si="11"/>
        <v>0.19935817094685748</v>
      </c>
      <c r="N31" s="152">
        <f t="shared" si="11"/>
        <v>0.19825025817460107</v>
      </c>
    </row>
    <row r="33" spans="2:14" s="155" customFormat="1" x14ac:dyDescent="0.3">
      <c r="B33" s="155" t="s">
        <v>388</v>
      </c>
      <c r="C33" s="155">
        <f>IFERROR('Raw Data Sheet'!E29,0)</f>
        <v>5368</v>
      </c>
      <c r="D33" s="155">
        <f>IFERROR('Raw Data Sheet'!F29,0)</f>
        <v>7205</v>
      </c>
      <c r="E33" s="155">
        <f>IFERROR('Raw Data Sheet'!G29,0)</f>
        <v>7964</v>
      </c>
      <c r="F33" s="155">
        <f>IFERROR('Raw Data Sheet'!H29,0)</f>
        <v>9214</v>
      </c>
      <c r="G33" s="155">
        <f>IFERROR('Raw Data Sheet'!I29,0)</f>
        <v>9740</v>
      </c>
      <c r="H33" s="155">
        <f>IFERROR('Raw Data Sheet'!J29,0)</f>
        <v>10858</v>
      </c>
      <c r="I33" s="155">
        <f>IFERROR('Raw Data Sheet'!K29,0)</f>
        <v>10521</v>
      </c>
      <c r="J33" s="155">
        <f>FORECAST(J6,$C$33:$I$33,$C$6:$I$6)</f>
        <v>12201.571428571428</v>
      </c>
      <c r="K33" s="155">
        <f>FORECAST(K6,$C$33:$I$33,$C$6:$I$6)</f>
        <v>13078.035714285714</v>
      </c>
      <c r="L33" s="155">
        <f>FORECAST(L6,$C$33:$I$33,$C$6:$I$6)</f>
        <v>13954.5</v>
      </c>
      <c r="M33" s="155">
        <f>FORECAST(M6,$C$33:$I$33,$C$6:$I$6)</f>
        <v>14830.964285714286</v>
      </c>
      <c r="N33" s="155">
        <f>FORECAST(N6,$C$33:$I$33,$C$6:$I$6)</f>
        <v>15707.428571428571</v>
      </c>
    </row>
    <row r="34" spans="2:14" x14ac:dyDescent="0.3">
      <c r="B34" s="152" t="s">
        <v>387</v>
      </c>
      <c r="C34" s="152">
        <f t="shared" ref="C34:N34" si="12">C33/C30</f>
        <v>0.27952509893772132</v>
      </c>
      <c r="D34" s="152">
        <f t="shared" si="12"/>
        <v>0.29496049453473616</v>
      </c>
      <c r="E34" s="152">
        <f t="shared" si="12"/>
        <v>0.28632033075678592</v>
      </c>
      <c r="F34" s="152">
        <f t="shared" si="12"/>
        <v>0.30090460794879331</v>
      </c>
      <c r="G34" s="152">
        <f t="shared" si="12"/>
        <v>0.31141094094702176</v>
      </c>
      <c r="H34" s="152">
        <f t="shared" si="12"/>
        <v>0.31927781698423902</v>
      </c>
      <c r="I34" s="152">
        <f t="shared" si="12"/>
        <v>0.28464368811211516</v>
      </c>
      <c r="J34" s="152">
        <f t="shared" si="12"/>
        <v>0.30480850213409838</v>
      </c>
      <c r="K34" s="152">
        <f t="shared" si="12"/>
        <v>0.30598389298982442</v>
      </c>
      <c r="L34" s="152">
        <f t="shared" si="12"/>
        <v>0.3070190878203175</v>
      </c>
      <c r="M34" s="152">
        <f t="shared" si="12"/>
        <v>0.30793775796378614</v>
      </c>
      <c r="N34" s="152">
        <f t="shared" si="12"/>
        <v>0.30875852966779949</v>
      </c>
    </row>
    <row r="36" spans="2:14" s="162" customFormat="1" x14ac:dyDescent="0.3">
      <c r="B36" s="153" t="s">
        <v>386</v>
      </c>
      <c r="C36" s="153">
        <f t="shared" ref="C36:N36" si="13">C30-C33</f>
        <v>13836</v>
      </c>
      <c r="D36" s="153">
        <f t="shared" si="13"/>
        <v>17222</v>
      </c>
      <c r="E36" s="153">
        <f t="shared" si="13"/>
        <v>19851</v>
      </c>
      <c r="F36" s="153">
        <f t="shared" si="13"/>
        <v>21407</v>
      </c>
      <c r="G36" s="153">
        <f t="shared" si="13"/>
        <v>21537</v>
      </c>
      <c r="H36" s="153">
        <f t="shared" si="13"/>
        <v>23150</v>
      </c>
      <c r="I36" s="153">
        <f t="shared" si="13"/>
        <v>26441</v>
      </c>
      <c r="J36" s="153">
        <f t="shared" si="13"/>
        <v>27828.714285714297</v>
      </c>
      <c r="K36" s="153">
        <f t="shared" si="13"/>
        <v>29662.892857142808</v>
      </c>
      <c r="L36" s="153">
        <f t="shared" si="13"/>
        <v>31497.071428571413</v>
      </c>
      <c r="M36" s="153">
        <f t="shared" si="13"/>
        <v>33331.249999999985</v>
      </c>
      <c r="N36" s="153">
        <f t="shared" si="13"/>
        <v>35165.428571428536</v>
      </c>
    </row>
    <row r="37" spans="2:14" x14ac:dyDescent="0.3">
      <c r="B37" s="152" t="s">
        <v>385</v>
      </c>
      <c r="C37" s="152">
        <f t="shared" ref="C37:N37" si="14">C36/C9</f>
        <v>0.15239395975372008</v>
      </c>
      <c r="D37" s="152">
        <f t="shared" si="14"/>
        <v>0.17141094036149376</v>
      </c>
      <c r="E37" s="152">
        <f t="shared" si="14"/>
        <v>0.16319333119589613</v>
      </c>
      <c r="F37" s="152">
        <f t="shared" si="14"/>
        <v>0.14585703870761138</v>
      </c>
      <c r="G37" s="152">
        <f t="shared" si="14"/>
        <v>0.14015097286392919</v>
      </c>
      <c r="H37" s="152">
        <f t="shared" si="14"/>
        <v>0.14203325357383889</v>
      </c>
      <c r="I37" s="152">
        <f t="shared" si="14"/>
        <v>0.14800447802966696</v>
      </c>
      <c r="J37" s="152">
        <f t="shared" si="14"/>
        <v>0.14160929266230651</v>
      </c>
      <c r="K37" s="152">
        <f t="shared" si="14"/>
        <v>0.14022323317351906</v>
      </c>
      <c r="L37" s="152">
        <f t="shared" si="14"/>
        <v>0.13902098686964981</v>
      </c>
      <c r="M37" s="152">
        <f t="shared" si="14"/>
        <v>0.13796826275372095</v>
      </c>
      <c r="N37" s="152">
        <f t="shared" si="14"/>
        <v>0.13703879995434959</v>
      </c>
    </row>
    <row r="39" spans="2:14" s="155" customFormat="1" x14ac:dyDescent="0.3">
      <c r="B39" s="155" t="s">
        <v>384</v>
      </c>
      <c r="C39" s="155">
        <f>IFERROR('Raw Data Sheet'!E93,0)</f>
        <v>425.9</v>
      </c>
      <c r="D39" s="155">
        <f>IFERROR('Raw Data Sheet'!F93,0)</f>
        <v>426.07</v>
      </c>
      <c r="E39" s="155">
        <f>IFERROR('Raw Data Sheet'!G93,0)</f>
        <v>420.67</v>
      </c>
      <c r="F39" s="155">
        <f>IFERROR('Raw Data Sheet'!H93,0)</f>
        <v>414.86</v>
      </c>
      <c r="G39" s="155">
        <f>IFERROR('Raw Data Sheet'!I93,0)</f>
        <v>415.09</v>
      </c>
      <c r="H39" s="155">
        <f>IFERROR('Raw Data Sheet'!J93,0)</f>
        <v>415.33</v>
      </c>
      <c r="I39" s="155">
        <f>IFERROR('Raw Data Sheet'!K93,0)</f>
        <v>405.56</v>
      </c>
      <c r="J39" s="155">
        <f>FORECAST(J6,$C$39:$I$39,$C$6:$I$6)</f>
        <v>405.05714285714288</v>
      </c>
      <c r="K39" s="155">
        <f>FORECAST(K6,$C$39:$I$39,$C$6:$I$6)</f>
        <v>401.91142857142859</v>
      </c>
      <c r="L39" s="155">
        <f>FORECAST(L6,$C$39:$I$39,$C$6:$I$6)</f>
        <v>398.7657142857143</v>
      </c>
      <c r="M39" s="155">
        <f>FORECAST(M6,$C$39:$I$39,$C$6:$I$6)</f>
        <v>395.62</v>
      </c>
      <c r="N39" s="155">
        <f>FORECAST(N6,$C$39:$I$39,$C$6:$I$6)</f>
        <v>392.47428571428571</v>
      </c>
    </row>
    <row r="41" spans="2:14" s="155" customFormat="1" x14ac:dyDescent="0.3">
      <c r="B41" s="155" t="s">
        <v>383</v>
      </c>
      <c r="C41" s="155">
        <f t="shared" ref="C41:N41" si="15">IFERROR(C36/C39,0)</f>
        <v>32.486499178210849</v>
      </c>
      <c r="D41" s="155">
        <f t="shared" si="15"/>
        <v>40.420588166263762</v>
      </c>
      <c r="E41" s="155">
        <f t="shared" si="15"/>
        <v>47.189008011030019</v>
      </c>
      <c r="F41" s="155">
        <f t="shared" si="15"/>
        <v>51.600539941184977</v>
      </c>
      <c r="G41" s="155">
        <f t="shared" si="15"/>
        <v>51.885133344575877</v>
      </c>
      <c r="H41" s="155">
        <f t="shared" si="15"/>
        <v>55.738810102809815</v>
      </c>
      <c r="I41" s="155">
        <f t="shared" si="15"/>
        <v>65.196271821678664</v>
      </c>
      <c r="J41" s="155">
        <f t="shared" si="15"/>
        <v>68.703181209000519</v>
      </c>
      <c r="K41" s="155">
        <f t="shared" si="15"/>
        <v>73.804551820230344</v>
      </c>
      <c r="L41" s="155">
        <f t="shared" si="15"/>
        <v>78.986408059153916</v>
      </c>
      <c r="M41" s="155">
        <f t="shared" si="15"/>
        <v>84.250669834689816</v>
      </c>
      <c r="N41" s="155">
        <f t="shared" si="15"/>
        <v>89.599318608680363</v>
      </c>
    </row>
    <row r="42" spans="2:14" x14ac:dyDescent="0.3">
      <c r="B42" s="152" t="s">
        <v>382</v>
      </c>
      <c r="C42" s="152"/>
      <c r="D42" s="152">
        <f t="shared" ref="D42:N42" si="16">D41/C41-1</f>
        <v>0.24422726944288353</v>
      </c>
      <c r="E42" s="152">
        <f t="shared" si="16"/>
        <v>0.16744981089650213</v>
      </c>
      <c r="F42" s="152">
        <f t="shared" si="16"/>
        <v>9.3486430762091954E-2</v>
      </c>
      <c r="G42" s="152">
        <f t="shared" si="16"/>
        <v>5.5153183225462588E-3</v>
      </c>
      <c r="H42" s="152">
        <f t="shared" si="16"/>
        <v>7.4273236085588668E-2</v>
      </c>
      <c r="I42" s="152">
        <f t="shared" si="16"/>
        <v>0.1696746253001209</v>
      </c>
      <c r="J42" s="152">
        <f t="shared" si="16"/>
        <v>5.3790029542084339E-2</v>
      </c>
      <c r="K42" s="152">
        <f t="shared" si="16"/>
        <v>7.4252320219511336E-2</v>
      </c>
      <c r="L42" s="152">
        <f t="shared" si="16"/>
        <v>7.0210523756655263E-2</v>
      </c>
      <c r="M42" s="152">
        <f t="shared" si="16"/>
        <v>6.6647691734423864E-2</v>
      </c>
      <c r="N42" s="152">
        <f t="shared" si="16"/>
        <v>6.3484940647774657E-2</v>
      </c>
    </row>
    <row r="44" spans="2:14" s="155" customFormat="1" x14ac:dyDescent="0.3">
      <c r="B44" s="155" t="s">
        <v>381</v>
      </c>
      <c r="C44" s="155">
        <f>IFERROR('Raw Data Sheet'!E31/C39,0)</f>
        <v>17.438365813571263</v>
      </c>
      <c r="D44" s="155">
        <f>IFERROR('Raw Data Sheet'!F31/D39,0)</f>
        <v>26.919520266622857</v>
      </c>
      <c r="E44" s="155">
        <f>IFERROR('Raw Data Sheet'!G31/E39,0)</f>
        <v>30.921149594694178</v>
      </c>
      <c r="F44" s="155">
        <f>IFERROR('Raw Data Sheet'!H31/F39,0)</f>
        <v>33.913127320059779</v>
      </c>
      <c r="G44" s="155">
        <f>IFERROR('Raw Data Sheet'!I31/G39,0)</f>
        <v>45.901370787058234</v>
      </c>
      <c r="H44" s="155">
        <f>IFERROR('Raw Data Sheet'!J31/H39,0)</f>
        <v>42.924421544314157</v>
      </c>
      <c r="I44" s="155">
        <f>IFERROR('Raw Data Sheet'!K31/I39,0)</f>
        <v>47.910050300818625</v>
      </c>
      <c r="J44" s="155">
        <f>FORECAST(J6,$C$44:$I$44,$C$6:$I$6)</f>
        <v>54.904726119518259</v>
      </c>
      <c r="K44" s="155">
        <f>FORECAST(K6,$C$44:$I$44,$C$6:$I$6)</f>
        <v>59.84776459128571</v>
      </c>
      <c r="L44" s="155">
        <f>FORECAST(L6,$C$44:$I$44,$C$6:$I$6)</f>
        <v>64.790803063053161</v>
      </c>
      <c r="M44" s="155">
        <f>FORECAST(M6,$C$44:$I$44,$C$6:$I$6)</f>
        <v>69.733841534820613</v>
      </c>
      <c r="N44" s="155">
        <f>FORECAST(N6,$C$44:$I$44,$C$6:$I$6)</f>
        <v>74.676880006588064</v>
      </c>
    </row>
    <row r="45" spans="2:14" x14ac:dyDescent="0.3">
      <c r="B45" s="152" t="s">
        <v>380</v>
      </c>
      <c r="C45" s="152">
        <f t="shared" ref="C45:N45" si="17">IFERROR(C44/C41,0)</f>
        <v>0.53678808904307607</v>
      </c>
      <c r="D45" s="152">
        <f t="shared" si="17"/>
        <v>0.66598536755312976</v>
      </c>
      <c r="E45" s="152">
        <f t="shared" si="17"/>
        <v>0.6552616996624856</v>
      </c>
      <c r="F45" s="152">
        <f t="shared" si="17"/>
        <v>0.65722427243425052</v>
      </c>
      <c r="G45" s="152">
        <f t="shared" si="17"/>
        <v>0.8846728885174352</v>
      </c>
      <c r="H45" s="152">
        <f t="shared" si="17"/>
        <v>0.77009935205183577</v>
      </c>
      <c r="I45" s="152">
        <f t="shared" si="17"/>
        <v>0.73485874210506419</v>
      </c>
      <c r="J45" s="152">
        <f t="shared" si="17"/>
        <v>0.79915842546640936</v>
      </c>
      <c r="K45" s="152">
        <f t="shared" si="17"/>
        <v>0.81089530544213695</v>
      </c>
      <c r="L45" s="152">
        <f t="shared" si="17"/>
        <v>0.82027787634716232</v>
      </c>
      <c r="M45" s="152">
        <f t="shared" si="17"/>
        <v>0.82769480256533268</v>
      </c>
      <c r="N45" s="152">
        <f t="shared" si="17"/>
        <v>0.83345365976202168</v>
      </c>
    </row>
    <row r="47" spans="2:14" x14ac:dyDescent="0.3">
      <c r="B47" s="128" t="s">
        <v>379</v>
      </c>
      <c r="C47" s="136">
        <f t="shared" ref="C47:N47" si="18">IFERROR(IF(C41&gt;C44,1-C45,0),0)</f>
        <v>0.46321191095692393</v>
      </c>
      <c r="D47" s="136">
        <f t="shared" si="18"/>
        <v>0.33401463244687024</v>
      </c>
      <c r="E47" s="136">
        <f t="shared" si="18"/>
        <v>0.3447383003375144</v>
      </c>
      <c r="F47" s="136">
        <f t="shared" si="18"/>
        <v>0.34277572756574948</v>
      </c>
      <c r="G47" s="136">
        <f t="shared" si="18"/>
        <v>0.1153271114825648</v>
      </c>
      <c r="H47" s="136">
        <f t="shared" si="18"/>
        <v>0.22990064794816423</v>
      </c>
      <c r="I47" s="136">
        <f t="shared" si="18"/>
        <v>0.26514125789493581</v>
      </c>
      <c r="J47" s="136">
        <f t="shared" si="18"/>
        <v>0.20084157453359064</v>
      </c>
      <c r="K47" s="136">
        <f t="shared" si="18"/>
        <v>0.18910469455786305</v>
      </c>
      <c r="L47" s="136">
        <f t="shared" si="18"/>
        <v>0.17972212365283768</v>
      </c>
      <c r="M47" s="136">
        <f t="shared" si="18"/>
        <v>0.17230519743466732</v>
      </c>
      <c r="N47" s="136">
        <f t="shared" si="18"/>
        <v>0.16654634023797832</v>
      </c>
    </row>
    <row r="48" spans="2:14" s="147" customFormat="1" x14ac:dyDescent="0.3">
      <c r="B48" s="150" t="s">
        <v>250</v>
      </c>
      <c r="C48" s="153">
        <f t="shared" ref="C48:N48" si="19">IFERROR(C21-C27,0)</f>
        <v>19374</v>
      </c>
      <c r="D48" s="153">
        <f t="shared" si="19"/>
        <v>24622</v>
      </c>
      <c r="E48" s="153">
        <f t="shared" si="19"/>
        <v>28015</v>
      </c>
      <c r="F48" s="153">
        <f t="shared" si="19"/>
        <v>30905</v>
      </c>
      <c r="G48" s="153">
        <f t="shared" si="19"/>
        <v>31747</v>
      </c>
      <c r="H48" s="153">
        <f t="shared" si="19"/>
        <v>34424</v>
      </c>
      <c r="I48" s="153">
        <f t="shared" si="19"/>
        <v>37378</v>
      </c>
      <c r="J48" s="153">
        <f t="shared" si="19"/>
        <v>40544.71428571429</v>
      </c>
      <c r="K48" s="153">
        <f t="shared" si="19"/>
        <v>43307.142857142811</v>
      </c>
      <c r="L48" s="153">
        <f t="shared" si="19"/>
        <v>46069.571428571413</v>
      </c>
      <c r="M48" s="153">
        <f t="shared" si="19"/>
        <v>48831.999999999993</v>
      </c>
      <c r="N48" s="153">
        <f t="shared" si="19"/>
        <v>51594.428571428536</v>
      </c>
    </row>
    <row r="49" spans="1:15" x14ac:dyDescent="0.3">
      <c r="B49" s="152" t="s">
        <v>349</v>
      </c>
      <c r="C49" s="152">
        <f t="shared" ref="C49:N49" si="20">C48/C9</f>
        <v>0.21339119516251612</v>
      </c>
      <c r="D49" s="152">
        <f t="shared" si="20"/>
        <v>0.24506330121824987</v>
      </c>
      <c r="E49" s="152">
        <f t="shared" si="20"/>
        <v>0.23030885967724699</v>
      </c>
      <c r="F49" s="152">
        <f t="shared" si="20"/>
        <v>0.21057185879659596</v>
      </c>
      <c r="G49" s="152">
        <f t="shared" si="20"/>
        <v>0.20659204789483959</v>
      </c>
      <c r="H49" s="152">
        <f t="shared" si="20"/>
        <v>0.21120314129701209</v>
      </c>
      <c r="I49" s="152">
        <f t="shared" si="20"/>
        <v>0.20922474111390987</v>
      </c>
      <c r="J49" s="152">
        <f t="shared" si="20"/>
        <v>0.2063159746529391</v>
      </c>
      <c r="K49" s="152">
        <f t="shared" si="20"/>
        <v>0.20472270254226882</v>
      </c>
      <c r="L49" s="152">
        <f t="shared" si="20"/>
        <v>0.20334072325378444</v>
      </c>
      <c r="M49" s="152">
        <f t="shared" si="20"/>
        <v>0.20213061936740159</v>
      </c>
      <c r="N49" s="152">
        <f t="shared" si="20"/>
        <v>0.20106220407345229</v>
      </c>
    </row>
    <row r="50" spans="1:15" x14ac:dyDescent="0.3">
      <c r="A50" s="151" t="s">
        <v>240</v>
      </c>
      <c r="B50" s="226" t="s">
        <v>378</v>
      </c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</row>
    <row r="52" spans="1:15" x14ac:dyDescent="0.3">
      <c r="B52" s="158" t="s">
        <v>377</v>
      </c>
      <c r="C52" s="155">
        <f>IFERROR('Raw Data Sheet'!E57,0)</f>
        <v>2122</v>
      </c>
      <c r="D52" s="155">
        <f>IFERROR('Raw Data Sheet'!F57,0)</f>
        <v>2124</v>
      </c>
      <c r="E52" s="155">
        <f>IFERROR('Raw Data Sheet'!G57,0)</f>
        <v>2098</v>
      </c>
      <c r="F52" s="155">
        <f>IFERROR('Raw Data Sheet'!H57,0)</f>
        <v>2069</v>
      </c>
      <c r="G52" s="155">
        <f>IFERROR('Raw Data Sheet'!I57,0)</f>
        <v>2071</v>
      </c>
      <c r="H52" s="155">
        <f>IFERROR('Raw Data Sheet'!J57,0)</f>
        <v>2073</v>
      </c>
      <c r="I52" s="155">
        <f>IFERROR('Raw Data Sheet'!K57,0)</f>
        <v>2024</v>
      </c>
      <c r="J52" s="160">
        <f>FORECAST(J6,$C$52:$I$52,$C$6:$I$6)</f>
        <v>2022.5714285714287</v>
      </c>
      <c r="K52" s="160">
        <f>FORECAST(K6,$C$52:$I$52,$C$6:$I$6)</f>
        <v>2007.4642857142858</v>
      </c>
      <c r="L52" s="160">
        <f>FORECAST(L6,$C$52:$I$52,$C$6:$I$6)</f>
        <v>1992.3571428571429</v>
      </c>
      <c r="M52" s="160">
        <f>FORECAST(M6,$C$52:$I$52,$C$6:$I$6)</f>
        <v>1977.25</v>
      </c>
      <c r="N52" s="160">
        <f>FORECAST(N6,$C$52:$I$52,$C$6:$I$6)</f>
        <v>1962.1428571428573</v>
      </c>
    </row>
    <row r="53" spans="1:15" x14ac:dyDescent="0.3">
      <c r="B53" s="158" t="s">
        <v>199</v>
      </c>
      <c r="C53" s="155">
        <f>IFERROR('Raw Data Sheet'!E58,0)</f>
        <v>63328</v>
      </c>
      <c r="D53" s="155">
        <f>IFERROR('Raw Data Sheet'!F58,0)</f>
        <v>74227</v>
      </c>
      <c r="E53" s="155">
        <f>IFERROR('Raw Data Sheet'!G58,0)</f>
        <v>73252</v>
      </c>
      <c r="F53" s="155">
        <f>IFERROR('Raw Data Sheet'!H58,0)</f>
        <v>73338</v>
      </c>
      <c r="G53" s="155">
        <f>IFERROR('Raw Data Sheet'!I58,0)</f>
        <v>86045</v>
      </c>
      <c r="H53" s="155">
        <f>IFERROR('Raw Data Sheet'!J58,0)</f>
        <v>93745</v>
      </c>
      <c r="I53" s="155">
        <f>IFERROR('Raw Data Sheet'!K58,0)</f>
        <v>90828</v>
      </c>
      <c r="J53" s="160">
        <f t="shared" ref="J53:N55" si="21">FORECAST($J$6,C53:I53,$C$6:$I$6)</f>
        <v>98441.71428571429</v>
      </c>
      <c r="K53" s="160">
        <f t="shared" si="21"/>
        <v>102582.83673469389</v>
      </c>
      <c r="L53" s="160">
        <f t="shared" si="21"/>
        <v>108745.06997084549</v>
      </c>
      <c r="M53" s="160">
        <f t="shared" si="21"/>
        <v>113959.88837984174</v>
      </c>
      <c r="N53" s="160">
        <f t="shared" si="21"/>
        <v>117121.02159814365</v>
      </c>
    </row>
    <row r="54" spans="1:15" x14ac:dyDescent="0.3">
      <c r="B54" s="158" t="s">
        <v>376</v>
      </c>
      <c r="C54" s="155">
        <f>IFERROR('Raw Data Sheet'!E59,0)</f>
        <v>4633</v>
      </c>
      <c r="D54" s="155">
        <f>IFERROR('Raw Data Sheet'!F59,0)</f>
        <v>5325</v>
      </c>
      <c r="E54" s="155">
        <f>IFERROR('Raw Data Sheet'!G59,0)</f>
        <v>5474</v>
      </c>
      <c r="F54" s="155">
        <f>IFERROR('Raw Data Sheet'!H59,0)</f>
        <v>8299</v>
      </c>
      <c r="G54" s="155">
        <f>IFERROR('Raw Data Sheet'!I59,0)</f>
        <v>8359</v>
      </c>
      <c r="H54" s="155">
        <f>IFERROR('Raw Data Sheet'!J59,0)</f>
        <v>8227</v>
      </c>
      <c r="I54" s="155">
        <f>IFERROR('Raw Data Sheet'!K59,0)</f>
        <v>9176</v>
      </c>
      <c r="J54" s="160">
        <f t="shared" si="21"/>
        <v>10258.714285714286</v>
      </c>
      <c r="K54" s="160">
        <f t="shared" si="21"/>
        <v>11035.979591836734</v>
      </c>
      <c r="L54" s="160">
        <f t="shared" si="21"/>
        <v>11750.294460641398</v>
      </c>
      <c r="M54" s="160">
        <f t="shared" si="21"/>
        <v>12120.792169929195</v>
      </c>
      <c r="N54" s="160">
        <f t="shared" si="21"/>
        <v>13017.103647289818</v>
      </c>
    </row>
    <row r="55" spans="1:15" x14ac:dyDescent="0.3">
      <c r="B55" s="158" t="s">
        <v>375</v>
      </c>
      <c r="C55" s="155">
        <f>IFERROR('Raw Data Sheet'!E60,0)</f>
        <v>21717</v>
      </c>
      <c r="D55" s="155">
        <f>IFERROR('Raw Data Sheet'!F60,0)</f>
        <v>25835</v>
      </c>
      <c r="E55" s="155">
        <f>IFERROR('Raw Data Sheet'!G60,0)</f>
        <v>35905</v>
      </c>
      <c r="F55" s="155">
        <f>IFERROR('Raw Data Sheet'!H60,0)</f>
        <v>40890</v>
      </c>
      <c r="G55" s="155">
        <f>IFERROR('Raw Data Sheet'!I60,0)</f>
        <v>39545</v>
      </c>
      <c r="H55" s="155">
        <f>IFERROR('Raw Data Sheet'!J60,0)</f>
        <v>43750</v>
      </c>
      <c r="I55" s="155">
        <f>IFERROR('Raw Data Sheet'!K60,0)</f>
        <v>52260</v>
      </c>
      <c r="J55" s="160">
        <f t="shared" si="21"/>
        <v>55857.285714285717</v>
      </c>
      <c r="K55" s="160">
        <f t="shared" si="21"/>
        <v>59954.163265306124</v>
      </c>
      <c r="L55" s="160">
        <f t="shared" si="21"/>
        <v>63279.787172011667</v>
      </c>
      <c r="M55" s="160">
        <f t="shared" si="21"/>
        <v>67947.315701790925</v>
      </c>
      <c r="N55" s="160">
        <f t="shared" si="21"/>
        <v>73507.748081156664</v>
      </c>
      <c r="O55" s="160"/>
    </row>
    <row r="56" spans="1:15" x14ac:dyDescent="0.3">
      <c r="B56" s="159" t="s">
        <v>207</v>
      </c>
      <c r="C56" s="153">
        <f t="shared" ref="C56:N56" si="22">SUM(C52:C55)</f>
        <v>91800</v>
      </c>
      <c r="D56" s="153">
        <f t="shared" si="22"/>
        <v>107511</v>
      </c>
      <c r="E56" s="153">
        <f t="shared" si="22"/>
        <v>116729</v>
      </c>
      <c r="F56" s="153">
        <f t="shared" si="22"/>
        <v>124596</v>
      </c>
      <c r="G56" s="153">
        <f t="shared" si="22"/>
        <v>136020</v>
      </c>
      <c r="H56" s="153">
        <f t="shared" si="22"/>
        <v>147795</v>
      </c>
      <c r="I56" s="153">
        <f t="shared" si="22"/>
        <v>154288</v>
      </c>
      <c r="J56" s="153">
        <f t="shared" si="22"/>
        <v>166580.28571428574</v>
      </c>
      <c r="K56" s="153">
        <f t="shared" si="22"/>
        <v>175580.44387755104</v>
      </c>
      <c r="L56" s="153">
        <f t="shared" si="22"/>
        <v>185767.50874635571</v>
      </c>
      <c r="M56" s="153">
        <f t="shared" si="22"/>
        <v>196005.24625156185</v>
      </c>
      <c r="N56" s="153">
        <f t="shared" si="22"/>
        <v>205608.01618373298</v>
      </c>
    </row>
    <row r="57" spans="1:15" x14ac:dyDescent="0.3">
      <c r="B57" s="161"/>
      <c r="C57" s="155"/>
      <c r="D57" s="155"/>
      <c r="E57" s="155"/>
      <c r="F57" s="155"/>
      <c r="G57" s="155"/>
      <c r="H57" s="155"/>
      <c r="I57" s="155"/>
    </row>
    <row r="58" spans="1:15" x14ac:dyDescent="0.3">
      <c r="B58" s="158" t="s">
        <v>374</v>
      </c>
      <c r="C58" s="155">
        <f>IFERROR('Raw Data Sheet'!E62,0)</f>
        <v>23789</v>
      </c>
      <c r="D58" s="155">
        <f>IFERROR('Raw Data Sheet'!F62,0)</f>
        <v>25505</v>
      </c>
      <c r="E58" s="155">
        <f>IFERROR('Raw Data Sheet'!G62,0)</f>
        <v>25800</v>
      </c>
      <c r="F58" s="155">
        <f>IFERROR('Raw Data Sheet'!H62,0)</f>
        <v>29225</v>
      </c>
      <c r="G58" s="155">
        <f>IFERROR('Raw Data Sheet'!I62,0)</f>
        <v>27622</v>
      </c>
      <c r="H58" s="155">
        <f>IFERROR('Raw Data Sheet'!J62,0)</f>
        <v>30961</v>
      </c>
      <c r="I58" s="155">
        <f>IFERROR('Raw Data Sheet'!K62,0)</f>
        <v>33770</v>
      </c>
      <c r="J58" s="160">
        <f t="shared" ref="J58:N61" si="23">FORECAST($J$6,C58:I58,$C$6:$I$6)</f>
        <v>34192.714285714283</v>
      </c>
      <c r="K58" s="160">
        <f t="shared" si="23"/>
        <v>35830.693877551021</v>
      </c>
      <c r="L58" s="160">
        <f t="shared" si="23"/>
        <v>37653.845481049568</v>
      </c>
      <c r="M58" s="160">
        <f t="shared" si="23"/>
        <v>39170.127446897131</v>
      </c>
      <c r="N58" s="160">
        <f t="shared" si="23"/>
        <v>41327.306895936228</v>
      </c>
    </row>
    <row r="59" spans="1:15" x14ac:dyDescent="0.3">
      <c r="B59" s="158" t="s">
        <v>373</v>
      </c>
      <c r="C59" s="155">
        <f>IFERROR('Raw Data Sheet'!E63,0)</f>
        <v>954</v>
      </c>
      <c r="D59" s="155">
        <f>IFERROR('Raw Data Sheet'!F63,0)</f>
        <v>922</v>
      </c>
      <c r="E59" s="155">
        <f>IFERROR('Raw Data Sheet'!G63,0)</f>
        <v>416</v>
      </c>
      <c r="F59" s="155">
        <f>IFERROR('Raw Data Sheet'!H63,0)</f>
        <v>288</v>
      </c>
      <c r="G59" s="155">
        <f>IFERROR('Raw Data Sheet'!I63,0)</f>
        <v>293</v>
      </c>
      <c r="H59" s="155">
        <f>IFERROR('Raw Data Sheet'!J63,0)</f>
        <v>814</v>
      </c>
      <c r="I59" s="155">
        <f>IFERROR('Raw Data Sheet'!K63,0)</f>
        <v>526</v>
      </c>
      <c r="J59" s="160">
        <f t="shared" si="23"/>
        <v>370.00000000000006</v>
      </c>
      <c r="K59" s="160">
        <f t="shared" si="23"/>
        <v>388.42857142857144</v>
      </c>
      <c r="L59" s="160">
        <f t="shared" si="23"/>
        <v>487.10204081632656</v>
      </c>
      <c r="M59" s="160">
        <f t="shared" si="23"/>
        <v>501.52769679300297</v>
      </c>
      <c r="N59" s="160">
        <f t="shared" si="23"/>
        <v>459.18200749687645</v>
      </c>
    </row>
    <row r="60" spans="1:15" x14ac:dyDescent="0.3">
      <c r="B60" s="158" t="s">
        <v>221</v>
      </c>
      <c r="C60" s="155">
        <f>IFERROR('Raw Data Sheet'!E64,0)</f>
        <v>8792</v>
      </c>
      <c r="D60" s="155">
        <f>IFERROR('Raw Data Sheet'!F64,0)</f>
        <v>14205</v>
      </c>
      <c r="E60" s="155">
        <f>IFERROR('Raw Data Sheet'!G64,0)</f>
        <v>20324</v>
      </c>
      <c r="F60" s="155">
        <f>IFERROR('Raw Data Sheet'!H64,0)</f>
        <v>19478</v>
      </c>
      <c r="G60" s="155">
        <f>IFERROR('Raw Data Sheet'!I64,0)</f>
        <v>24623</v>
      </c>
      <c r="H60" s="155">
        <f>IFERROR('Raw Data Sheet'!J64,0)</f>
        <v>23541</v>
      </c>
      <c r="I60" s="155">
        <f>IFERROR('Raw Data Sheet'!K64,0)</f>
        <v>21880</v>
      </c>
      <c r="J60" s="160">
        <f t="shared" si="23"/>
        <v>27868.285714285714</v>
      </c>
      <c r="K60" s="160">
        <f t="shared" si="23"/>
        <v>28583.448979591838</v>
      </c>
      <c r="L60" s="160">
        <f t="shared" si="23"/>
        <v>29301.950437317784</v>
      </c>
      <c r="M60" s="160">
        <f t="shared" si="23"/>
        <v>30999.388588088295</v>
      </c>
      <c r="N60" s="160">
        <f t="shared" si="23"/>
        <v>32021.655619682271</v>
      </c>
    </row>
    <row r="61" spans="1:15" x14ac:dyDescent="0.3">
      <c r="B61" s="158" t="s">
        <v>234</v>
      </c>
      <c r="C61" s="155">
        <f>IFERROR('Raw Data Sheet'!E65-SUM('Raw Data Sheet'!E67:E69),0)</f>
        <v>21129</v>
      </c>
      <c r="D61" s="155">
        <f>IFERROR('Raw Data Sheet'!F65-SUM('Raw Data Sheet'!F67:F69),0)</f>
        <v>22871</v>
      </c>
      <c r="E61" s="155">
        <f>IFERROR('Raw Data Sheet'!G65-SUM('Raw Data Sheet'!G67:G69),0)</f>
        <v>30019</v>
      </c>
      <c r="F61" s="155">
        <f>IFERROR('Raw Data Sheet'!H65-SUM('Raw Data Sheet'!H67:H69),0)</f>
        <v>38008</v>
      </c>
      <c r="G61" s="155">
        <f>IFERROR('Raw Data Sheet'!I65-SUM('Raw Data Sheet'!I67:I69),0)</f>
        <v>38503</v>
      </c>
      <c r="H61" s="155">
        <f>IFERROR('Raw Data Sheet'!J65-SUM('Raw Data Sheet'!J67:J69),0)</f>
        <v>36866</v>
      </c>
      <c r="I61" s="155">
        <f>IFERROR('Raw Data Sheet'!K65-SUM('Raw Data Sheet'!K67:K69),0)</f>
        <v>40677</v>
      </c>
      <c r="J61" s="160">
        <f t="shared" si="23"/>
        <v>46170.142857142855</v>
      </c>
      <c r="K61" s="160">
        <f t="shared" si="23"/>
        <v>49026.510204081627</v>
      </c>
      <c r="L61" s="160">
        <f t="shared" si="23"/>
        <v>50684.352769679303</v>
      </c>
      <c r="M61" s="160">
        <f t="shared" si="23"/>
        <v>52616.461057892549</v>
      </c>
      <c r="N61" s="160">
        <f t="shared" si="23"/>
        <v>56124.295115130597</v>
      </c>
    </row>
    <row r="62" spans="1:15" x14ac:dyDescent="0.3">
      <c r="B62" s="159" t="s">
        <v>372</v>
      </c>
      <c r="C62" s="153">
        <f t="shared" ref="C62:N62" si="24">SUM(C58:C61)</f>
        <v>54664</v>
      </c>
      <c r="D62" s="153">
        <f t="shared" si="24"/>
        <v>63503</v>
      </c>
      <c r="E62" s="153">
        <f t="shared" si="24"/>
        <v>76559</v>
      </c>
      <c r="F62" s="153">
        <f t="shared" si="24"/>
        <v>86999</v>
      </c>
      <c r="G62" s="153">
        <f t="shared" si="24"/>
        <v>91041</v>
      </c>
      <c r="H62" s="153">
        <f t="shared" si="24"/>
        <v>92182</v>
      </c>
      <c r="I62" s="153">
        <f t="shared" si="24"/>
        <v>96853</v>
      </c>
      <c r="J62" s="153">
        <f t="shared" si="24"/>
        <v>108601.14285714286</v>
      </c>
      <c r="K62" s="153">
        <f t="shared" si="24"/>
        <v>113829.08163265306</v>
      </c>
      <c r="L62" s="153">
        <f t="shared" si="24"/>
        <v>118127.25072886297</v>
      </c>
      <c r="M62" s="153">
        <f t="shared" si="24"/>
        <v>123287.50478967097</v>
      </c>
      <c r="N62" s="153">
        <f t="shared" si="24"/>
        <v>129932.43963824597</v>
      </c>
    </row>
    <row r="63" spans="1:15" x14ac:dyDescent="0.3">
      <c r="B63" s="158"/>
      <c r="C63" s="155"/>
      <c r="D63" s="155"/>
      <c r="E63" s="155"/>
      <c r="F63" s="155"/>
      <c r="G63" s="155"/>
      <c r="H63" s="155"/>
      <c r="I63" s="155"/>
    </row>
    <row r="64" spans="1:15" x14ac:dyDescent="0.3">
      <c r="B64" s="158" t="s">
        <v>257</v>
      </c>
      <c r="C64" s="155">
        <f>IFERROR('Raw Data Sheet'!E67,0)</f>
        <v>18487</v>
      </c>
      <c r="D64" s="155">
        <f>IFERROR('Raw Data Sheet'!F67,0)</f>
        <v>19294</v>
      </c>
      <c r="E64" s="155">
        <f>IFERROR('Raw Data Sheet'!G67,0)</f>
        <v>22698</v>
      </c>
      <c r="F64" s="155">
        <f>IFERROR('Raw Data Sheet'!H67,0)</f>
        <v>25424</v>
      </c>
      <c r="G64" s="155">
        <f>IFERROR('Raw Data Sheet'!I67,0)</f>
        <v>30193</v>
      </c>
      <c r="H64" s="155">
        <f>IFERROR('Raw Data Sheet'!J67,0)</f>
        <v>31158</v>
      </c>
      <c r="I64" s="155">
        <f>IFERROR('Raw Data Sheet'!K67,0)</f>
        <v>35234</v>
      </c>
      <c r="J64" s="155">
        <f t="shared" ref="J64:N67" si="25">FORECAST($J$6,C64:I64,$C$6:$I$6)</f>
        <v>37707.428571428572</v>
      </c>
      <c r="K64" s="155">
        <f t="shared" si="25"/>
        <v>41107.816326530621</v>
      </c>
      <c r="L64" s="155">
        <f t="shared" si="25"/>
        <v>44051.364431486887</v>
      </c>
      <c r="M64" s="155">
        <f t="shared" si="25"/>
        <v>47019.537692628088</v>
      </c>
      <c r="N64" s="155">
        <f t="shared" si="25"/>
        <v>49801.615041351833</v>
      </c>
    </row>
    <row r="65" spans="1:14" x14ac:dyDescent="0.3">
      <c r="B65" s="158" t="s">
        <v>371</v>
      </c>
      <c r="C65" s="155">
        <f>IFERROR('Raw Data Sheet'!E68,0)</f>
        <v>0</v>
      </c>
      <c r="D65" s="155">
        <f>IFERROR('Raw Data Sheet'!F68,0)</f>
        <v>0</v>
      </c>
      <c r="E65" s="155">
        <f>IFERROR('Raw Data Sheet'!G68,0)</f>
        <v>0</v>
      </c>
      <c r="F65" s="155">
        <f>IFERROR('Raw Data Sheet'!H68,0)</f>
        <v>0</v>
      </c>
      <c r="G65" s="155">
        <f>IFERROR('Raw Data Sheet'!I68,0)</f>
        <v>0</v>
      </c>
      <c r="H65" s="155">
        <f>IFERROR('Raw Data Sheet'!J68,0)</f>
        <v>0</v>
      </c>
      <c r="I65" s="155">
        <f>IFERROR('Raw Data Sheet'!K68,0)</f>
        <v>0</v>
      </c>
      <c r="J65" s="155">
        <f t="shared" si="25"/>
        <v>0</v>
      </c>
      <c r="K65" s="155">
        <f t="shared" si="25"/>
        <v>0</v>
      </c>
      <c r="L65" s="155">
        <f t="shared" si="25"/>
        <v>0</v>
      </c>
      <c r="M65" s="155">
        <f t="shared" si="25"/>
        <v>0</v>
      </c>
      <c r="N65" s="155">
        <f t="shared" si="25"/>
        <v>0</v>
      </c>
    </row>
    <row r="66" spans="1:14" x14ac:dyDescent="0.3">
      <c r="B66" s="157" t="s">
        <v>370</v>
      </c>
      <c r="C66" s="155">
        <f>IFERROR('Raw Data Sheet'!E69,0)</f>
        <v>18649</v>
      </c>
      <c r="D66" s="155">
        <f>IFERROR('Raw Data Sheet'!F69,0)</f>
        <v>24714</v>
      </c>
      <c r="E66" s="155">
        <f>IFERROR('Raw Data Sheet'!G69,0)</f>
        <v>17472</v>
      </c>
      <c r="F66" s="155">
        <f>IFERROR('Raw Data Sheet'!H69,0)</f>
        <v>12173</v>
      </c>
      <c r="G66" s="155">
        <f>IFERROR('Raw Data Sheet'!I69,0)</f>
        <v>14786</v>
      </c>
      <c r="H66" s="155">
        <f>IFERROR('Raw Data Sheet'!J69,0)</f>
        <v>24455</v>
      </c>
      <c r="I66" s="155">
        <f>IFERROR('Raw Data Sheet'!K69,0)</f>
        <v>22201</v>
      </c>
      <c r="J66" s="155">
        <f t="shared" si="25"/>
        <v>20271.71428571429</v>
      </c>
      <c r="K66" s="155">
        <f t="shared" si="25"/>
        <v>20640.836734693879</v>
      </c>
      <c r="L66" s="155">
        <f t="shared" si="25"/>
        <v>23588.355685131195</v>
      </c>
      <c r="M66" s="155">
        <f t="shared" si="25"/>
        <v>25698.337359433568</v>
      </c>
      <c r="N66" s="155">
        <f t="shared" si="25"/>
        <v>25869.257749747128</v>
      </c>
    </row>
    <row r="67" spans="1:14" x14ac:dyDescent="0.3">
      <c r="B67" s="156" t="s">
        <v>235</v>
      </c>
      <c r="C67" s="155">
        <f t="shared" ref="C67:I67" si="26">SUM(C64:C66)</f>
        <v>37136</v>
      </c>
      <c r="D67" s="155">
        <f t="shared" si="26"/>
        <v>44008</v>
      </c>
      <c r="E67" s="155">
        <f t="shared" si="26"/>
        <v>40170</v>
      </c>
      <c r="F67" s="155">
        <f t="shared" si="26"/>
        <v>37597</v>
      </c>
      <c r="G67" s="155">
        <f t="shared" si="26"/>
        <v>44979</v>
      </c>
      <c r="H67" s="155">
        <f t="shared" si="26"/>
        <v>55613</v>
      </c>
      <c r="I67" s="155">
        <f t="shared" si="26"/>
        <v>57435</v>
      </c>
      <c r="J67" s="155">
        <f t="shared" si="25"/>
        <v>57979.142857142855</v>
      </c>
      <c r="K67" s="155">
        <f t="shared" si="25"/>
        <v>61748.65306122449</v>
      </c>
      <c r="L67" s="155">
        <f t="shared" si="25"/>
        <v>67639.72011661806</v>
      </c>
      <c r="M67" s="155">
        <f t="shared" si="25"/>
        <v>72717.87505206163</v>
      </c>
      <c r="N67" s="155">
        <f t="shared" si="25"/>
        <v>75670.87279109894</v>
      </c>
    </row>
    <row r="68" spans="1:14" x14ac:dyDescent="0.3">
      <c r="C68" s="155"/>
      <c r="D68" s="155"/>
      <c r="E68" s="155"/>
      <c r="F68" s="155"/>
      <c r="G68" s="155"/>
      <c r="H68" s="155"/>
      <c r="I68" s="155"/>
    </row>
    <row r="69" spans="1:14" x14ac:dyDescent="0.3">
      <c r="B69" s="154" t="s">
        <v>227</v>
      </c>
      <c r="C69" s="153">
        <f t="shared" ref="C69:N69" si="27">SUM(C62,C67)</f>
        <v>91800</v>
      </c>
      <c r="D69" s="153">
        <f t="shared" si="27"/>
        <v>107511</v>
      </c>
      <c r="E69" s="153">
        <f t="shared" si="27"/>
        <v>116729</v>
      </c>
      <c r="F69" s="153">
        <f t="shared" si="27"/>
        <v>124596</v>
      </c>
      <c r="G69" s="153">
        <f t="shared" si="27"/>
        <v>136020</v>
      </c>
      <c r="H69" s="153">
        <f t="shared" si="27"/>
        <v>147795</v>
      </c>
      <c r="I69" s="153">
        <f t="shared" si="27"/>
        <v>154288</v>
      </c>
      <c r="J69" s="153">
        <f t="shared" si="27"/>
        <v>166580.28571428571</v>
      </c>
      <c r="K69" s="153">
        <f t="shared" si="27"/>
        <v>175577.73469387754</v>
      </c>
      <c r="L69" s="153">
        <f t="shared" si="27"/>
        <v>185766.97084548103</v>
      </c>
      <c r="M69" s="153">
        <f t="shared" si="27"/>
        <v>196005.37984173262</v>
      </c>
      <c r="N69" s="153">
        <f t="shared" si="27"/>
        <v>205603.31242934492</v>
      </c>
    </row>
    <row r="71" spans="1:14" x14ac:dyDescent="0.3">
      <c r="B71" s="152" t="s">
        <v>369</v>
      </c>
      <c r="C71" s="152" t="b">
        <f t="shared" ref="C71:J71" si="28">C69=C56</f>
        <v>1</v>
      </c>
      <c r="D71" s="152" t="b">
        <f t="shared" si="28"/>
        <v>1</v>
      </c>
      <c r="E71" s="152" t="b">
        <f t="shared" si="28"/>
        <v>1</v>
      </c>
      <c r="F71" s="152" t="b">
        <f t="shared" si="28"/>
        <v>1</v>
      </c>
      <c r="G71" s="152" t="b">
        <f t="shared" si="28"/>
        <v>1</v>
      </c>
      <c r="H71" s="152" t="b">
        <f t="shared" si="28"/>
        <v>1</v>
      </c>
      <c r="I71" s="152" t="b">
        <f t="shared" si="28"/>
        <v>1</v>
      </c>
      <c r="J71" s="152" t="b">
        <f t="shared" si="28"/>
        <v>1</v>
      </c>
      <c r="K71" s="152" t="b">
        <f>IF((K56-K69)&lt;5,TRUE, FALSE)</f>
        <v>1</v>
      </c>
      <c r="L71" s="152" t="b">
        <f>IF((L56-L69)&lt;5,TRUE, FALSE)</f>
        <v>1</v>
      </c>
      <c r="M71" s="152" t="b">
        <f>IF((M56-M69)&lt;5,TRUE, FALSE)</f>
        <v>1</v>
      </c>
      <c r="N71" s="152" t="b">
        <f>IF((N56-N69)&lt;5,TRUE, FALSE)</f>
        <v>1</v>
      </c>
    </row>
    <row r="73" spans="1:14" x14ac:dyDescent="0.3">
      <c r="A73" s="151" t="s">
        <v>240</v>
      </c>
      <c r="B73" s="226" t="s">
        <v>368</v>
      </c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</row>
    <row r="74" spans="1:14" x14ac:dyDescent="0.3">
      <c r="B74" s="147" t="s">
        <v>367</v>
      </c>
    </row>
    <row r="75" spans="1:14" x14ac:dyDescent="0.3">
      <c r="B75" s="147" t="s">
        <v>366</v>
      </c>
      <c r="C75" s="149">
        <f>IFERROR('Raw Cash Flow '!H4,0)</f>
        <v>23920</v>
      </c>
      <c r="D75" s="149">
        <f>IFERROR('Raw Cash Flow '!I4,0)</f>
        <v>28845</v>
      </c>
      <c r="E75" s="149">
        <f>IFERROR('Raw Cash Flow '!J4,0)</f>
        <v>32921</v>
      </c>
      <c r="F75" s="149">
        <f>IFERROR('Raw Cash Flow '!K4,0)</f>
        <v>37605</v>
      </c>
      <c r="G75" s="149">
        <f>IFERROR('Raw Cash Flow '!L4,0)</f>
        <v>39523</v>
      </c>
      <c r="H75" s="149">
        <f>IFERROR('Raw Cash Flow '!M4,0)</f>
        <v>41591</v>
      </c>
      <c r="I75" s="149">
        <f>IFERROR('Raw Cash Flow '!N4,0)</f>
        <v>45273</v>
      </c>
      <c r="J75" s="149">
        <f t="shared" ref="J75:N81" si="29">FORECAST($J$6,C75:I75,$C$6:$I$6)</f>
        <v>49404.42857142858</v>
      </c>
      <c r="K75" s="149">
        <f t="shared" si="29"/>
        <v>52218.673469387752</v>
      </c>
      <c r="L75" s="149">
        <f t="shared" si="29"/>
        <v>55111.13994169097</v>
      </c>
      <c r="M75" s="149">
        <f t="shared" si="29"/>
        <v>58064.205331112047</v>
      </c>
      <c r="N75" s="149">
        <f t="shared" si="29"/>
        <v>61542.145237103599</v>
      </c>
    </row>
    <row r="76" spans="1:14" x14ac:dyDescent="0.3">
      <c r="B76" s="255" t="s">
        <v>257</v>
      </c>
      <c r="C76" s="149">
        <f>IFERROR('Raw Cash Flow '!H5,0)</f>
        <v>-3861</v>
      </c>
      <c r="D76" s="149">
        <f>IFERROR('Raw Cash Flow '!I5,0)</f>
        <v>-1835</v>
      </c>
      <c r="E76" s="149">
        <f>IFERROR('Raw Cash Flow '!J5,0)</f>
        <v>-7937</v>
      </c>
      <c r="F76" s="149">
        <f>IFERROR('Raw Cash Flow '!K5,0)</f>
        <v>-7076</v>
      </c>
      <c r="G76" s="149">
        <f>IFERROR('Raw Cash Flow '!L5,0)</f>
        <v>-2667</v>
      </c>
      <c r="H76" s="149">
        <f>IFERROR('Raw Cash Flow '!M5,0)</f>
        <v>-1769</v>
      </c>
      <c r="I76" s="149">
        <f>IFERROR('Raw Cash Flow '!N5,0)</f>
        <v>-5177</v>
      </c>
      <c r="J76" s="149">
        <f t="shared" si="29"/>
        <v>-4123.9999999999991</v>
      </c>
      <c r="K76" s="149">
        <f t="shared" si="29"/>
        <v>-3803.5714285714284</v>
      </c>
      <c r="L76" s="149">
        <f t="shared" si="29"/>
        <v>-2394.183673469387</v>
      </c>
      <c r="M76" s="149">
        <f t="shared" si="29"/>
        <v>-2513.3498542274037</v>
      </c>
      <c r="N76" s="149">
        <f t="shared" si="29"/>
        <v>-3123.4418992086612</v>
      </c>
    </row>
    <row r="77" spans="1:14" x14ac:dyDescent="0.3">
      <c r="B77" s="255" t="s">
        <v>258</v>
      </c>
      <c r="C77" s="149">
        <f>IFERROR('Raw Cash Flow '!H6,0)</f>
        <v>-373</v>
      </c>
      <c r="D77" s="149">
        <f>IFERROR('Raw Cash Flow '!I6,0)</f>
        <v>-245</v>
      </c>
      <c r="E77" s="149">
        <f>IFERROR('Raw Cash Flow '!J6,0)</f>
        <v>1489</v>
      </c>
      <c r="F77" s="149">
        <f>IFERROR('Raw Cash Flow '!K6,0)</f>
        <v>-279</v>
      </c>
      <c r="G77" s="149">
        <f>IFERROR('Raw Cash Flow '!L6,0)</f>
        <v>91</v>
      </c>
      <c r="H77" s="149">
        <f>IFERROR('Raw Cash Flow '!M6,0)</f>
        <v>176</v>
      </c>
      <c r="I77" s="149">
        <f>IFERROR('Raw Cash Flow '!N6,0)</f>
        <v>-26</v>
      </c>
      <c r="J77" s="149">
        <f t="shared" si="29"/>
        <v>188.28571428571428</v>
      </c>
      <c r="K77" s="149">
        <f t="shared" si="29"/>
        <v>17.020408163265301</v>
      </c>
      <c r="L77" s="149">
        <f t="shared" si="29"/>
        <v>-277.43731778425649</v>
      </c>
      <c r="M77" s="149">
        <f t="shared" si="29"/>
        <v>-34.44523115368591</v>
      </c>
      <c r="N77" s="149">
        <f t="shared" si="29"/>
        <v>-157.96662105075262</v>
      </c>
    </row>
    <row r="78" spans="1:14" x14ac:dyDescent="0.3">
      <c r="B78" s="255" t="s">
        <v>259</v>
      </c>
      <c r="C78" s="149">
        <f>IFERROR('Raw Cash Flow '!H7,0)</f>
        <v>0</v>
      </c>
      <c r="D78" s="149">
        <f>IFERROR('Raw Cash Flow '!I7,0)</f>
        <v>-534</v>
      </c>
      <c r="E78" s="149">
        <f>IFERROR('Raw Cash Flow '!J7,0)</f>
        <v>-1914</v>
      </c>
      <c r="F78" s="149">
        <f>IFERROR('Raw Cash Flow '!K7,0)</f>
        <v>-3108</v>
      </c>
      <c r="G78" s="149">
        <f>IFERROR('Raw Cash Flow '!L7,0)</f>
        <v>-1172</v>
      </c>
      <c r="H78" s="149">
        <f>IFERROR('Raw Cash Flow '!M7,0)</f>
        <v>-1024</v>
      </c>
      <c r="I78" s="149">
        <f>IFERROR('Raw Cash Flow '!N7,0)</f>
        <v>-2645</v>
      </c>
      <c r="J78" s="149">
        <f t="shared" si="29"/>
        <v>-2652.8571428571431</v>
      </c>
      <c r="K78" s="149">
        <f t="shared" si="29"/>
        <v>-2683.4897959183672</v>
      </c>
      <c r="L78" s="149">
        <f t="shared" si="29"/>
        <v>-2581.5043731778424</v>
      </c>
      <c r="M78" s="149">
        <f t="shared" si="29"/>
        <v>-2705.6001665972508</v>
      </c>
      <c r="N78" s="149">
        <f t="shared" si="29"/>
        <v>-3316.9643600880581</v>
      </c>
    </row>
    <row r="79" spans="1:14" ht="15" thickBot="1" x14ac:dyDescent="0.35">
      <c r="B79" s="255" t="s">
        <v>260</v>
      </c>
      <c r="C79" s="149">
        <f>IFERROR('Raw Cash Flow '!H8,0)</f>
        <v>1867</v>
      </c>
      <c r="D79" s="149">
        <f>IFERROR('Raw Cash Flow '!I8,0)</f>
        <v>3382</v>
      </c>
      <c r="E79" s="149">
        <f>IFERROR('Raw Cash Flow '!J8,0)</f>
        <v>6938</v>
      </c>
      <c r="F79" s="149">
        <f>IFERROR('Raw Cash Flow '!K8,0)</f>
        <v>4119</v>
      </c>
      <c r="G79" s="149">
        <f>IFERROR('Raw Cash Flow '!L8,0)</f>
        <v>-1334</v>
      </c>
      <c r="H79" s="149">
        <f>IFERROR('Raw Cash Flow '!M8,0)</f>
        <v>2322</v>
      </c>
      <c r="I79" s="149">
        <f>IFERROR('Raw Cash Flow '!N8,0)</f>
        <v>5209</v>
      </c>
      <c r="J79" s="149">
        <f t="shared" si="29"/>
        <v>3162.4285714285716</v>
      </c>
      <c r="K79" s="149">
        <f t="shared" si="29"/>
        <v>2554.9591836734699</v>
      </c>
      <c r="L79" s="149">
        <f t="shared" si="29"/>
        <v>2064.5889212827997</v>
      </c>
      <c r="M79" s="149">
        <f t="shared" si="29"/>
        <v>2936.1557684298218</v>
      </c>
      <c r="N79" s="149">
        <f t="shared" si="29"/>
        <v>3793.8195394775994</v>
      </c>
    </row>
    <row r="80" spans="1:14" x14ac:dyDescent="0.3">
      <c r="B80" s="271" t="s">
        <v>261</v>
      </c>
      <c r="C80" s="149">
        <f>IFERROR('Raw Cash Flow '!H9,0)</f>
        <v>-2367</v>
      </c>
      <c r="D80" s="149">
        <f>IFERROR('Raw Cash Flow '!I9,0)</f>
        <v>768</v>
      </c>
      <c r="E80" s="149">
        <f>IFERROR('Raw Cash Flow '!J9,0)</f>
        <v>-1424</v>
      </c>
      <c r="F80" s="149">
        <f>IFERROR('Raw Cash Flow '!K9,0)</f>
        <v>-6344</v>
      </c>
      <c r="G80" s="149">
        <f>IFERROR('Raw Cash Flow '!L9,0)</f>
        <v>-5082</v>
      </c>
      <c r="H80" s="149">
        <f>IFERROR('Raw Cash Flow '!M9,0)</f>
        <v>-295</v>
      </c>
      <c r="I80" s="149">
        <f>IFERROR('Raw Cash Flow '!N9,0)</f>
        <v>-2639</v>
      </c>
      <c r="J80" s="149">
        <f t="shared" si="29"/>
        <v>-3426.1428571428569</v>
      </c>
      <c r="K80" s="149">
        <f t="shared" si="29"/>
        <v>-3915.0816326530612</v>
      </c>
      <c r="L80" s="149">
        <f t="shared" si="29"/>
        <v>-3188.5364431486878</v>
      </c>
      <c r="M80" s="149">
        <f t="shared" si="29"/>
        <v>-2317.2394835485211</v>
      </c>
      <c r="N80" s="149">
        <f t="shared" si="29"/>
        <v>-2804.5533408698752</v>
      </c>
    </row>
    <row r="81" spans="2:14" x14ac:dyDescent="0.3">
      <c r="B81" s="255" t="s">
        <v>262</v>
      </c>
      <c r="C81" s="149">
        <f>IFERROR('Raw Cash Flow '!H10,0)</f>
        <v>-4550</v>
      </c>
      <c r="D81" s="149">
        <f>IFERROR('Raw Cash Flow '!I10,0)</f>
        <v>-6389</v>
      </c>
      <c r="E81" s="149">
        <f>IFERROR('Raw Cash Flow '!J10,0)</f>
        <v>-7612</v>
      </c>
      <c r="F81" s="149">
        <f>IFERROR('Raw Cash Flow '!K10,0)</f>
        <v>-8794</v>
      </c>
      <c r="G81" s="149">
        <f>IFERROR('Raw Cash Flow '!L10,0)</f>
        <v>-9231</v>
      </c>
      <c r="H81" s="149">
        <f>IFERROR('Raw Cash Flow '!M10,0)</f>
        <v>-5602</v>
      </c>
      <c r="I81" s="149">
        <f>IFERROR('Raw Cash Flow '!N10,0)</f>
        <v>-8648</v>
      </c>
      <c r="J81" s="149">
        <f t="shared" si="29"/>
        <v>-9023.5714285714275</v>
      </c>
      <c r="K81" s="149">
        <f t="shared" si="29"/>
        <v>-8869.0408163265311</v>
      </c>
      <c r="L81" s="149">
        <f t="shared" si="29"/>
        <v>-8775.2682215743425</v>
      </c>
      <c r="M81" s="149">
        <f t="shared" si="29"/>
        <v>-8797.7625989171156</v>
      </c>
      <c r="N81" s="149">
        <f t="shared" si="29"/>
        <v>-9173.5011602308532</v>
      </c>
    </row>
    <row r="82" spans="2:14" s="147" customFormat="1" x14ac:dyDescent="0.3">
      <c r="B82" s="150" t="s">
        <v>365</v>
      </c>
      <c r="C82" s="148">
        <f>SUM(C75:C79,C81)</f>
        <v>17003</v>
      </c>
      <c r="D82" s="148">
        <f t="shared" ref="D82:N82" si="30">SUM(D75:D79,D81)</f>
        <v>23224</v>
      </c>
      <c r="E82" s="148">
        <f t="shared" si="30"/>
        <v>23885</v>
      </c>
      <c r="F82" s="148">
        <f t="shared" si="30"/>
        <v>22467</v>
      </c>
      <c r="G82" s="148">
        <f t="shared" si="30"/>
        <v>25210</v>
      </c>
      <c r="H82" s="148">
        <f t="shared" si="30"/>
        <v>35694</v>
      </c>
      <c r="I82" s="148">
        <f t="shared" si="30"/>
        <v>33986</v>
      </c>
      <c r="J82" s="148">
        <f t="shared" si="30"/>
        <v>36954.714285714297</v>
      </c>
      <c r="K82" s="148">
        <f t="shared" si="30"/>
        <v>39434.551020408158</v>
      </c>
      <c r="L82" s="148">
        <f t="shared" si="30"/>
        <v>43147.33527696794</v>
      </c>
      <c r="M82" s="148">
        <f t="shared" si="30"/>
        <v>46949.203248646416</v>
      </c>
      <c r="N82" s="148">
        <f t="shared" si="30"/>
        <v>49564.09073600288</v>
      </c>
    </row>
    <row r="83" spans="2:14" x14ac:dyDescent="0.3">
      <c r="C83" s="149"/>
      <c r="D83" s="149"/>
      <c r="E83" s="149"/>
      <c r="F83" s="149"/>
      <c r="G83" s="149"/>
      <c r="H83" s="149"/>
      <c r="I83" s="149"/>
    </row>
    <row r="84" spans="2:14" x14ac:dyDescent="0.3">
      <c r="B84" s="147" t="s">
        <v>364</v>
      </c>
      <c r="C84" s="149"/>
      <c r="D84" s="149"/>
      <c r="E84" s="149"/>
      <c r="F84" s="149"/>
      <c r="G84" s="149"/>
      <c r="H84" s="149"/>
      <c r="I84" s="149"/>
    </row>
    <row r="85" spans="2:14" x14ac:dyDescent="0.3">
      <c r="B85" s="252" t="s">
        <v>264</v>
      </c>
      <c r="C85" s="149">
        <f>IFERROR('Raw Cash Flow '!H12,0)</f>
        <v>-3307</v>
      </c>
      <c r="D85" s="149">
        <f>IFERROR('Raw Cash Flow '!I12,0)</f>
        <v>-2107</v>
      </c>
      <c r="E85" s="149">
        <f>IFERROR('Raw Cash Flow '!J12,0)</f>
        <v>-2161</v>
      </c>
      <c r="F85" s="149">
        <f>IFERROR('Raw Cash Flow '!K12,0)</f>
        <v>-2579</v>
      </c>
      <c r="G85" s="149">
        <f>IFERROR('Raw Cash Flow '!L12,0)</f>
        <v>-2201</v>
      </c>
      <c r="H85" s="149">
        <f>IFERROR('Raw Cash Flow '!M12,0)</f>
        <v>-2237</v>
      </c>
      <c r="I85" s="149">
        <f>IFERROR('Raw Cash Flow '!N12,0)</f>
        <v>-2727</v>
      </c>
      <c r="J85" s="149">
        <f t="shared" ref="J85:N92" si="31">FORECAST($J$6,C85:I85,$C$6:$I$6)</f>
        <v>-2268.4285714285716</v>
      </c>
      <c r="K85" s="149">
        <f t="shared" si="31"/>
        <v>-2507.8163265306125</v>
      </c>
      <c r="L85" s="149">
        <f t="shared" si="31"/>
        <v>-2518.0787172011669</v>
      </c>
      <c r="M85" s="149">
        <f t="shared" si="31"/>
        <v>-2500.0887130362353</v>
      </c>
      <c r="N85" s="149">
        <f t="shared" si="31"/>
        <v>-2599.9503183197485</v>
      </c>
    </row>
    <row r="86" spans="2:14" x14ac:dyDescent="0.3">
      <c r="B86" s="252" t="s">
        <v>265</v>
      </c>
      <c r="C86" s="149">
        <f>IFERROR('Raw Cash Flow '!H13,0)</f>
        <v>-37482</v>
      </c>
      <c r="D86" s="149">
        <f>IFERROR('Raw Cash Flow '!I13,0)</f>
        <v>-46738</v>
      </c>
      <c r="E86" s="149">
        <f>IFERROR('Raw Cash Flow '!J13,0)</f>
        <v>-59951</v>
      </c>
      <c r="F86" s="149">
        <f>IFERROR('Raw Cash Flow '!K13,0)</f>
        <v>-75800</v>
      </c>
      <c r="G86" s="149">
        <f>IFERROR('Raw Cash Flow '!L13,0)</f>
        <v>-78092</v>
      </c>
      <c r="H86" s="149">
        <f>IFERROR('Raw Cash Flow '!M13,0)</f>
        <v>-82742</v>
      </c>
      <c r="I86" s="149">
        <f>IFERROR('Raw Cash Flow '!N13,0)</f>
        <v>-82617</v>
      </c>
      <c r="J86" s="149">
        <f t="shared" si="31"/>
        <v>-98425.142857142855</v>
      </c>
      <c r="K86" s="149">
        <f t="shared" si="31"/>
        <v>-104528.6530612245</v>
      </c>
      <c r="L86" s="149">
        <f t="shared" si="31"/>
        <v>-109380.57725947522</v>
      </c>
      <c r="M86" s="149">
        <f t="shared" si="31"/>
        <v>-114411.93627655144</v>
      </c>
      <c r="N86" s="149">
        <f t="shared" si="31"/>
        <v>-122049.41798060332</v>
      </c>
    </row>
    <row r="87" spans="2:14" x14ac:dyDescent="0.3">
      <c r="B87" s="252" t="s">
        <v>266</v>
      </c>
      <c r="C87" s="149">
        <f>IFERROR('Raw Cash Flow '!H14,0)</f>
        <v>38861</v>
      </c>
      <c r="D87" s="149">
        <f>IFERROR('Raw Cash Flow '!I14,0)</f>
        <v>40381</v>
      </c>
      <c r="E87" s="149">
        <f>IFERROR('Raw Cash Flow '!J14,0)</f>
        <v>57356</v>
      </c>
      <c r="F87" s="149">
        <f>IFERROR('Raw Cash Flow '!K14,0)</f>
        <v>76722</v>
      </c>
      <c r="G87" s="149">
        <f>IFERROR('Raw Cash Flow '!L14,0)</f>
        <v>72930</v>
      </c>
      <c r="H87" s="149">
        <f>IFERROR('Raw Cash Flow '!M14,0)</f>
        <v>84877</v>
      </c>
      <c r="I87" s="149">
        <f>IFERROR('Raw Cash Flow '!N14,0)</f>
        <v>89699</v>
      </c>
      <c r="J87" s="149">
        <f t="shared" si="31"/>
        <v>102558</v>
      </c>
      <c r="K87" s="149">
        <f t="shared" si="31"/>
        <v>111985</v>
      </c>
      <c r="L87" s="149">
        <f t="shared" si="31"/>
        <v>118350.71428571429</v>
      </c>
      <c r="M87" s="149">
        <f t="shared" si="31"/>
        <v>125399.83673469388</v>
      </c>
      <c r="N87" s="149">
        <f t="shared" si="31"/>
        <v>136063.21282798832</v>
      </c>
    </row>
    <row r="88" spans="2:14" x14ac:dyDescent="0.3">
      <c r="B88" s="252" t="s">
        <v>267</v>
      </c>
      <c r="C88" s="149">
        <f>IFERROR('Raw Cash Flow '!H15,0)</f>
        <v>0</v>
      </c>
      <c r="D88" s="149">
        <f>IFERROR('Raw Cash Flow '!I15,0)</f>
        <v>0</v>
      </c>
      <c r="E88" s="149">
        <f>IFERROR('Raw Cash Flow '!J15,0)</f>
        <v>0</v>
      </c>
      <c r="F88" s="149">
        <f>IFERROR('Raw Cash Flow '!K15,0)</f>
        <v>0</v>
      </c>
      <c r="G88" s="149">
        <f>IFERROR('Raw Cash Flow '!L15,0)</f>
        <v>0</v>
      </c>
      <c r="H88" s="149">
        <f>IFERROR('Raw Cash Flow '!M15,0)</f>
        <v>0</v>
      </c>
      <c r="I88" s="149">
        <f>IFERROR('Raw Cash Flow '!N15,0)</f>
        <v>0</v>
      </c>
      <c r="J88" s="149">
        <f t="shared" si="31"/>
        <v>0</v>
      </c>
      <c r="K88" s="149">
        <f t="shared" si="31"/>
        <v>0</v>
      </c>
      <c r="L88" s="149">
        <f t="shared" si="31"/>
        <v>0</v>
      </c>
      <c r="M88" s="149">
        <f t="shared" si="31"/>
        <v>0</v>
      </c>
      <c r="N88" s="149">
        <f t="shared" si="31"/>
        <v>0</v>
      </c>
    </row>
    <row r="89" spans="2:14" x14ac:dyDescent="0.3">
      <c r="B89" s="252" t="s">
        <v>268</v>
      </c>
      <c r="C89" s="149">
        <f>IFERROR('Raw Cash Flow '!H16,0)</f>
        <v>1929</v>
      </c>
      <c r="D89" s="149">
        <f>IFERROR('Raw Cash Flow '!I16,0)</f>
        <v>1418</v>
      </c>
      <c r="E89" s="149">
        <f>IFERROR('Raw Cash Flow '!J16,0)</f>
        <v>1898</v>
      </c>
      <c r="F89" s="149">
        <f>IFERROR('Raw Cash Flow '!K16,0)</f>
        <v>1525</v>
      </c>
      <c r="G89" s="149">
        <f>IFERROR('Raw Cash Flow '!L16,0)</f>
        <v>1768</v>
      </c>
      <c r="H89" s="149">
        <f>IFERROR('Raw Cash Flow '!M16,0)</f>
        <v>2040</v>
      </c>
      <c r="I89" s="149">
        <f>IFERROR('Raw Cash Flow '!N16,0)</f>
        <v>2713</v>
      </c>
      <c r="J89" s="149">
        <f t="shared" si="31"/>
        <v>2393.8571428571431</v>
      </c>
      <c r="K89" s="149">
        <f t="shared" si="31"/>
        <v>2689.7755102040819</v>
      </c>
      <c r="L89" s="149">
        <f t="shared" si="31"/>
        <v>2869.381924198251</v>
      </c>
      <c r="M89" s="149">
        <f t="shared" si="31"/>
        <v>3175.6526447313618</v>
      </c>
      <c r="N89" s="149">
        <f t="shared" si="31"/>
        <v>3358.309216397929</v>
      </c>
    </row>
    <row r="90" spans="2:14" x14ac:dyDescent="0.3">
      <c r="B90" s="252" t="s">
        <v>269</v>
      </c>
      <c r="C90" s="149">
        <f>IFERROR('Raw Cash Flow '!H17,0)</f>
        <v>0</v>
      </c>
      <c r="D90" s="149">
        <f>IFERROR('Raw Cash Flow '!I17,0)</f>
        <v>0</v>
      </c>
      <c r="E90" s="149">
        <f>IFERROR('Raw Cash Flow '!J17,0)</f>
        <v>0</v>
      </c>
      <c r="F90" s="149">
        <f>IFERROR('Raw Cash Flow '!K17,0)</f>
        <v>0</v>
      </c>
      <c r="G90" s="149">
        <f>IFERROR('Raw Cash Flow '!L17,0)</f>
        <v>0</v>
      </c>
      <c r="H90" s="149">
        <f>IFERROR('Raw Cash Flow '!M17,0)</f>
        <v>0</v>
      </c>
      <c r="I90" s="149">
        <f>IFERROR('Raw Cash Flow '!N17,0)</f>
        <v>0</v>
      </c>
      <c r="J90" s="149">
        <f t="shared" si="31"/>
        <v>0</v>
      </c>
      <c r="K90" s="149">
        <f t="shared" si="31"/>
        <v>0</v>
      </c>
      <c r="L90" s="149">
        <f t="shared" si="31"/>
        <v>0</v>
      </c>
      <c r="M90" s="149">
        <f t="shared" si="31"/>
        <v>0</v>
      </c>
      <c r="N90" s="149">
        <f t="shared" si="31"/>
        <v>0</v>
      </c>
    </row>
    <row r="91" spans="2:14" x14ac:dyDescent="0.3">
      <c r="B91" s="252" t="s">
        <v>270</v>
      </c>
      <c r="C91" s="149">
        <f>IFERROR('Raw Cash Flow '!H18,0)</f>
        <v>-108</v>
      </c>
      <c r="D91" s="149">
        <f>IFERROR('Raw Cash Flow '!I18,0)</f>
        <v>0</v>
      </c>
      <c r="E91" s="149">
        <f>IFERROR('Raw Cash Flow '!J18,0)</f>
        <v>0</v>
      </c>
      <c r="F91" s="149">
        <f>IFERROR('Raw Cash Flow '!K18,0)</f>
        <v>0</v>
      </c>
      <c r="G91" s="149">
        <f>IFERROR('Raw Cash Flow '!L18,0)</f>
        <v>0</v>
      </c>
      <c r="H91" s="149">
        <f>IFERROR('Raw Cash Flow '!M18,0)</f>
        <v>0</v>
      </c>
      <c r="I91" s="149">
        <f>IFERROR('Raw Cash Flow '!N18,0)</f>
        <v>0</v>
      </c>
      <c r="J91" s="149">
        <f t="shared" si="31"/>
        <v>30.857142857142854</v>
      </c>
      <c r="K91" s="149">
        <f t="shared" si="31"/>
        <v>17.632653061224488</v>
      </c>
      <c r="L91" s="149">
        <f t="shared" si="31"/>
        <v>23.300291545189499</v>
      </c>
      <c r="M91" s="149">
        <f t="shared" si="31"/>
        <v>29.687630154102457</v>
      </c>
      <c r="N91" s="149">
        <f t="shared" si="31"/>
        <v>36.396263461652879</v>
      </c>
    </row>
    <row r="92" spans="2:14" x14ac:dyDescent="0.3">
      <c r="B92" s="252" t="s">
        <v>271</v>
      </c>
      <c r="C92" s="149">
        <f>IFERROR('Raw Cash Flow '!H19,0)</f>
        <v>-224</v>
      </c>
      <c r="D92" s="149">
        <f>IFERROR('Raw Cash Flow '!I19,0)</f>
        <v>-327</v>
      </c>
      <c r="E92" s="149">
        <f>IFERROR('Raw Cash Flow '!J19,0)</f>
        <v>-3627</v>
      </c>
      <c r="F92" s="149">
        <f>IFERROR('Raw Cash Flow '!K19,0)</f>
        <v>-939</v>
      </c>
      <c r="G92" s="149">
        <f>IFERROR('Raw Cash Flow '!L19,0)</f>
        <v>502</v>
      </c>
      <c r="H92" s="149">
        <f>IFERROR('Raw Cash Flow '!M19,0)</f>
        <v>-3802</v>
      </c>
      <c r="I92" s="149">
        <f>IFERROR('Raw Cash Flow '!N19,0)</f>
        <v>-3522</v>
      </c>
      <c r="J92" s="149">
        <f t="shared" si="31"/>
        <v>-3522</v>
      </c>
      <c r="K92" s="149">
        <f t="shared" si="31"/>
        <v>-3925</v>
      </c>
      <c r="L92" s="149">
        <f t="shared" si="31"/>
        <v>-4131.2857142857147</v>
      </c>
      <c r="M92" s="149">
        <f t="shared" si="31"/>
        <v>-5355.7346938775518</v>
      </c>
      <c r="N92" s="149">
        <f t="shared" si="31"/>
        <v>-6055.8279883381929</v>
      </c>
    </row>
    <row r="93" spans="2:14" s="147" customFormat="1" x14ac:dyDescent="0.3">
      <c r="B93" s="272" t="s">
        <v>363</v>
      </c>
      <c r="C93" s="148">
        <f t="shared" ref="C93:N93" si="32">SUM(C85:C92)</f>
        <v>-331</v>
      </c>
      <c r="D93" s="148">
        <f t="shared" si="32"/>
        <v>-7373</v>
      </c>
      <c r="E93" s="148">
        <f t="shared" si="32"/>
        <v>-6485</v>
      </c>
      <c r="F93" s="148">
        <f t="shared" si="32"/>
        <v>-1071</v>
      </c>
      <c r="G93" s="148">
        <f t="shared" si="32"/>
        <v>-5093</v>
      </c>
      <c r="H93" s="148">
        <f t="shared" si="32"/>
        <v>-1864</v>
      </c>
      <c r="I93" s="148">
        <f t="shared" si="32"/>
        <v>3546</v>
      </c>
      <c r="J93" s="148">
        <f t="shared" si="32"/>
        <v>767.14285714286598</v>
      </c>
      <c r="K93" s="148">
        <f t="shared" si="32"/>
        <v>3730.9387755102025</v>
      </c>
      <c r="L93" s="148">
        <f t="shared" si="32"/>
        <v>5213.454810495633</v>
      </c>
      <c r="M93" s="148">
        <f t="shared" si="32"/>
        <v>6337.4173261141132</v>
      </c>
      <c r="N93" s="148">
        <f t="shared" si="32"/>
        <v>8752.7220205866342</v>
      </c>
    </row>
    <row r="94" spans="2:14" x14ac:dyDescent="0.3">
      <c r="C94" s="149"/>
      <c r="D94" s="149"/>
      <c r="E94" s="149"/>
      <c r="F94" s="149"/>
      <c r="G94" s="149"/>
      <c r="H94" s="149"/>
      <c r="I94" s="149"/>
    </row>
    <row r="95" spans="2:14" x14ac:dyDescent="0.3">
      <c r="B95" s="273" t="s">
        <v>362</v>
      </c>
      <c r="C95" s="149"/>
      <c r="D95" s="149"/>
      <c r="E95" s="149"/>
      <c r="F95" s="149"/>
      <c r="G95" s="149"/>
      <c r="H95" s="149"/>
      <c r="I95" s="149"/>
    </row>
    <row r="96" spans="2:14" x14ac:dyDescent="0.3">
      <c r="B96" s="255" t="s">
        <v>273</v>
      </c>
      <c r="C96" s="149">
        <f>IFERROR('Raw Cash Flow '!H21,0)</f>
        <v>6</v>
      </c>
      <c r="D96" s="149">
        <f>IFERROR('Raw Cash Flow '!I21,0)</f>
        <v>15</v>
      </c>
      <c r="E96" s="149">
        <f>IFERROR('Raw Cash Flow '!J21,0)</f>
        <v>21</v>
      </c>
      <c r="F96" s="149">
        <f>IFERROR('Raw Cash Flow '!K21,0)</f>
        <v>35</v>
      </c>
      <c r="G96" s="149">
        <f>IFERROR('Raw Cash Flow '!L21,0)</f>
        <v>5</v>
      </c>
      <c r="H96" s="149">
        <f>IFERROR('Raw Cash Flow '!M21,0)</f>
        <v>6</v>
      </c>
      <c r="I96" s="149">
        <f>IFERROR('Raw Cash Flow '!N21,0)</f>
        <v>2</v>
      </c>
      <c r="J96" s="149">
        <f t="shared" ref="J96:N100" si="33">FORECAST($J$6,C96:I96,$C$6:$I$6)</f>
        <v>6.2857142857142883</v>
      </c>
      <c r="K96" s="149">
        <f t="shared" si="33"/>
        <v>-0.40816326530612201</v>
      </c>
      <c r="L96" s="149">
        <f t="shared" si="33"/>
        <v>-7.110787172011662</v>
      </c>
      <c r="M96" s="149">
        <f t="shared" si="33"/>
        <v>-12.870887130362352</v>
      </c>
      <c r="N96" s="149">
        <f t="shared" si="33"/>
        <v>-11.906646040340336</v>
      </c>
    </row>
    <row r="97" spans="2:14" x14ac:dyDescent="0.3">
      <c r="B97" s="255" t="s">
        <v>361</v>
      </c>
      <c r="C97" s="149">
        <f>IFERROR('Raw Cash Flow '!H22,0)</f>
        <v>0</v>
      </c>
      <c r="D97" s="149">
        <f>IFERROR('Raw Cash Flow '!I22,0)</f>
        <v>0</v>
      </c>
      <c r="E97" s="149">
        <f>IFERROR('Raw Cash Flow '!J22,0)</f>
        <v>0</v>
      </c>
      <c r="F97" s="149">
        <f>IFERROR('Raw Cash Flow '!K22,0)</f>
        <v>0</v>
      </c>
      <c r="G97" s="149">
        <f>IFERROR('Raw Cash Flow '!L22,0)</f>
        <v>0</v>
      </c>
      <c r="H97" s="149">
        <f>IFERROR('Raw Cash Flow '!M22,0)</f>
        <v>-985</v>
      </c>
      <c r="I97" s="149">
        <f>IFERROR('Raw Cash Flow '!N22,0)</f>
        <v>0</v>
      </c>
      <c r="J97" s="149">
        <f t="shared" si="33"/>
        <v>-422.14285714285711</v>
      </c>
      <c r="K97" s="149">
        <f t="shared" si="33"/>
        <v>-522.65306122448987</v>
      </c>
      <c r="L97" s="149">
        <f t="shared" si="33"/>
        <v>-620.2915451895044</v>
      </c>
      <c r="M97" s="149">
        <f t="shared" si="33"/>
        <v>-699.05872553102881</v>
      </c>
      <c r="N97" s="149">
        <f t="shared" si="33"/>
        <v>-734.22264532635222</v>
      </c>
    </row>
    <row r="98" spans="2:14" x14ac:dyDescent="0.3">
      <c r="B98" s="255" t="s">
        <v>275</v>
      </c>
      <c r="C98" s="149">
        <f>IFERROR('Raw Cash Flow '!H23,0)</f>
        <v>-9548</v>
      </c>
      <c r="D98" s="149">
        <f>IFERROR('Raw Cash Flow '!I23,0)</f>
        <v>-9137</v>
      </c>
      <c r="E98" s="149">
        <f>IFERROR('Raw Cash Flow '!J23,0)</f>
        <v>-12731</v>
      </c>
      <c r="F98" s="149">
        <f>IFERROR('Raw Cash Flow '!K23,0)</f>
        <v>-13653</v>
      </c>
      <c r="G98" s="149">
        <f>IFERROR('Raw Cash Flow '!L23,0)</f>
        <v>-14731</v>
      </c>
      <c r="H98" s="149">
        <f>IFERROR('Raw Cash Flow '!M23,0)</f>
        <v>-20289</v>
      </c>
      <c r="I98" s="149">
        <f>IFERROR('Raw Cash Flow '!N23,0)</f>
        <v>-18656</v>
      </c>
      <c r="J98" s="149">
        <f t="shared" si="33"/>
        <v>-21481.857142857141</v>
      </c>
      <c r="K98" s="149">
        <f t="shared" si="33"/>
        <v>-23742.775510204083</v>
      </c>
      <c r="L98" s="149">
        <f t="shared" si="33"/>
        <v>-25414.667638483967</v>
      </c>
      <c r="M98" s="149">
        <f t="shared" si="33"/>
        <v>-27495.673052894628</v>
      </c>
      <c r="N98" s="149">
        <f t="shared" si="33"/>
        <v>-29349.014755756529</v>
      </c>
    </row>
    <row r="99" spans="2:14" x14ac:dyDescent="0.3">
      <c r="B99" s="255" t="s">
        <v>276</v>
      </c>
      <c r="C99" s="149">
        <f>IFERROR('Raw Cash Flow '!H24,0)</f>
        <v>-571</v>
      </c>
      <c r="D99" s="149">
        <f>IFERROR('Raw Cash Flow '!I24,0)</f>
        <v>-698</v>
      </c>
      <c r="E99" s="149">
        <f>IFERROR('Raw Cash Flow '!J24,0)</f>
        <v>-915</v>
      </c>
      <c r="F99" s="149">
        <f>IFERROR('Raw Cash Flow '!K24,0)</f>
        <v>-1231</v>
      </c>
      <c r="G99" s="149">
        <f>IFERROR('Raw Cash Flow '!L24,0)</f>
        <v>-2024</v>
      </c>
      <c r="H99" s="149">
        <f>IFERROR('Raw Cash Flow '!M24,0)</f>
        <v>-2355</v>
      </c>
      <c r="I99" s="149">
        <f>IFERROR('Raw Cash Flow '!N24,0)</f>
        <v>-2824</v>
      </c>
      <c r="J99" s="149">
        <f t="shared" si="33"/>
        <v>-3114.2857142857142</v>
      </c>
      <c r="K99" s="149">
        <f t="shared" si="33"/>
        <v>-3621.7346938775509</v>
      </c>
      <c r="L99" s="149">
        <f t="shared" si="33"/>
        <v>-4110.2565597667635</v>
      </c>
      <c r="M99" s="149">
        <f t="shared" si="33"/>
        <v>-4553.2573927530193</v>
      </c>
      <c r="N99" s="149">
        <f t="shared" si="33"/>
        <v>-4928.3649074790264</v>
      </c>
    </row>
    <row r="100" spans="2:14" x14ac:dyDescent="0.3">
      <c r="B100" s="255" t="s">
        <v>277</v>
      </c>
      <c r="C100" s="149">
        <f>IFERROR('Raw Cash Flow '!H25,0)</f>
        <v>-7478</v>
      </c>
      <c r="D100" s="149">
        <f>IFERROR('Raw Cash Flow '!I25,0)</f>
        <v>34</v>
      </c>
      <c r="E100" s="149">
        <f>IFERROR('Raw Cash Flow '!J25,0)</f>
        <v>-11017</v>
      </c>
      <c r="F100" s="149">
        <f>IFERROR('Raw Cash Flow '!K25,0)</f>
        <v>-11846</v>
      </c>
      <c r="G100" s="149">
        <f>IFERROR('Raw Cash Flow '!L25,0)</f>
        <v>-754</v>
      </c>
      <c r="H100" s="149">
        <f>IFERROR('Raw Cash Flow '!M25,0)</f>
        <v>-538</v>
      </c>
      <c r="I100" s="149">
        <f>IFERROR('Raw Cash Flow '!N25,0)</f>
        <v>-18308</v>
      </c>
      <c r="J100" s="149">
        <f t="shared" si="33"/>
        <v>-10468.285714285714</v>
      </c>
      <c r="K100" s="149">
        <f t="shared" si="33"/>
        <v>-12525.448979591836</v>
      </c>
      <c r="L100" s="149">
        <f t="shared" si="33"/>
        <v>-12111.521865889212</v>
      </c>
      <c r="M100" s="149">
        <f t="shared" si="33"/>
        <v>-14403.000832986254</v>
      </c>
      <c r="N100" s="149">
        <f t="shared" si="33"/>
        <v>-18202.821800440295</v>
      </c>
    </row>
    <row r="101" spans="2:14" s="147" customFormat="1" x14ac:dyDescent="0.3">
      <c r="B101" s="274" t="s">
        <v>360</v>
      </c>
      <c r="C101" s="148">
        <f t="shared" ref="C101:N101" si="34">SUM(C96:C100)</f>
        <v>-17591</v>
      </c>
      <c r="D101" s="148">
        <f t="shared" si="34"/>
        <v>-9786</v>
      </c>
      <c r="E101" s="148">
        <f t="shared" si="34"/>
        <v>-24642</v>
      </c>
      <c r="F101" s="148">
        <f t="shared" si="34"/>
        <v>-26695</v>
      </c>
      <c r="G101" s="148">
        <f t="shared" si="34"/>
        <v>-17504</v>
      </c>
      <c r="H101" s="148">
        <f t="shared" si="34"/>
        <v>-24161</v>
      </c>
      <c r="I101" s="148">
        <f t="shared" si="34"/>
        <v>-39786</v>
      </c>
      <c r="J101" s="148">
        <f t="shared" si="34"/>
        <v>-35480.28571428571</v>
      </c>
      <c r="K101" s="148">
        <f t="shared" si="34"/>
        <v>-40413.020408163269</v>
      </c>
      <c r="L101" s="148">
        <f t="shared" si="34"/>
        <v>-42263.84839650146</v>
      </c>
      <c r="M101" s="148">
        <f t="shared" si="34"/>
        <v>-47163.860891295291</v>
      </c>
      <c r="N101" s="148">
        <f t="shared" si="34"/>
        <v>-53226.330755042545</v>
      </c>
    </row>
    <row r="102" spans="2:14" x14ac:dyDescent="0.3">
      <c r="C102" s="149"/>
      <c r="D102" s="149"/>
      <c r="E102" s="149"/>
      <c r="F102" s="149"/>
      <c r="G102" s="149"/>
      <c r="H102" s="149"/>
      <c r="I102" s="149"/>
    </row>
    <row r="103" spans="2:14" s="147" customFormat="1" x14ac:dyDescent="0.3">
      <c r="B103" s="274" t="s">
        <v>278</v>
      </c>
      <c r="C103" s="148">
        <f t="shared" ref="C103:N103" si="35">IFERROR(C82+C93+C101,0)</f>
        <v>-919</v>
      </c>
      <c r="D103" s="148">
        <f t="shared" si="35"/>
        <v>6065</v>
      </c>
      <c r="E103" s="148">
        <f t="shared" si="35"/>
        <v>-7242</v>
      </c>
      <c r="F103" s="148">
        <f t="shared" si="35"/>
        <v>-5299</v>
      </c>
      <c r="G103" s="148">
        <f t="shared" si="35"/>
        <v>2613</v>
      </c>
      <c r="H103" s="148">
        <f t="shared" si="35"/>
        <v>9669</v>
      </c>
      <c r="I103" s="148">
        <f t="shared" si="35"/>
        <v>-2254</v>
      </c>
      <c r="J103" s="148">
        <f t="shared" si="35"/>
        <v>2241.5714285714494</v>
      </c>
      <c r="K103" s="148">
        <f t="shared" si="35"/>
        <v>2752.469387755089</v>
      </c>
      <c r="L103" s="148">
        <f t="shared" si="35"/>
        <v>6096.9416909621141</v>
      </c>
      <c r="M103" s="148">
        <f t="shared" si="35"/>
        <v>6122.7596834652359</v>
      </c>
      <c r="N103" s="148">
        <f t="shared" si="35"/>
        <v>5090.4820015469668</v>
      </c>
    </row>
  </sheetData>
  <pageMargins left="0.7" right="0.7" top="0.75" bottom="0.75" header="0.3" footer="0.3"/>
  <ignoredErrors>
    <ignoredError sqref="C12:I12 C18:I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A56D-9792-4D30-95A8-739C6E449157}">
  <sheetPr>
    <tabColor theme="8" tint="-0.499984740745262"/>
  </sheetPr>
  <dimension ref="B2:L40"/>
  <sheetViews>
    <sheetView showGridLines="0" workbookViewId="0">
      <pane ySplit="3" topLeftCell="A25" activePane="bottomLeft" state="frozen"/>
      <selection activeCell="O30" sqref="O30"/>
      <selection pane="bottomLeft" activeCell="B2" sqref="B2:J2"/>
    </sheetView>
  </sheetViews>
  <sheetFormatPr defaultRowHeight="14.4" x14ac:dyDescent="0.3"/>
  <cols>
    <col min="1" max="1" width="1.88671875" style="128" customWidth="1"/>
    <col min="2" max="2" width="26.77734375" style="128" bestFit="1" customWidth="1"/>
    <col min="3" max="3" width="9.6640625" style="128" bestFit="1" customWidth="1"/>
    <col min="4" max="10" width="8.88671875" style="128"/>
    <col min="11" max="11" width="9.6640625" style="128" bestFit="1" customWidth="1"/>
    <col min="12" max="12" width="10" style="128" bestFit="1" customWidth="1"/>
    <col min="13" max="16384" width="8.88671875" style="128"/>
  </cols>
  <sheetData>
    <row r="2" spans="2:12" x14ac:dyDescent="0.3">
      <c r="B2" s="431" t="str">
        <f>"Ratio Analysis - "&amp; 'Raw Data Sheet'!B1</f>
        <v>Ratio Analysis - INFOSYS LTD</v>
      </c>
      <c r="C2" s="431"/>
      <c r="D2" s="431"/>
      <c r="E2" s="431"/>
      <c r="F2" s="431"/>
      <c r="G2" s="431"/>
      <c r="H2" s="431"/>
      <c r="I2" s="431"/>
      <c r="J2" s="431"/>
      <c r="K2" s="211"/>
      <c r="L2" s="211"/>
    </row>
    <row r="3" spans="2:12" x14ac:dyDescent="0.3">
      <c r="B3" s="212" t="s">
        <v>359</v>
      </c>
      <c r="C3" s="213">
        <f>'Raw Data Sheet'!E16</f>
        <v>43921</v>
      </c>
      <c r="D3" s="213">
        <f>'Raw Data Sheet'!F16</f>
        <v>44286</v>
      </c>
      <c r="E3" s="213">
        <f>'Raw Data Sheet'!G16</f>
        <v>44651</v>
      </c>
      <c r="F3" s="213">
        <f>'Raw Data Sheet'!H16</f>
        <v>45016</v>
      </c>
      <c r="G3" s="213">
        <f>'Raw Data Sheet'!I16</f>
        <v>45382</v>
      </c>
      <c r="H3" s="213">
        <f>'Raw Data Sheet'!J16</f>
        <v>45747</v>
      </c>
      <c r="I3" s="213">
        <f>'Raw Data Sheet'!K16</f>
        <v>46112</v>
      </c>
      <c r="J3" s="214" t="s">
        <v>358</v>
      </c>
      <c r="K3" s="214" t="s">
        <v>357</v>
      </c>
      <c r="L3" s="214" t="s">
        <v>16</v>
      </c>
    </row>
    <row r="5" spans="2:12" x14ac:dyDescent="0.3">
      <c r="B5" s="135" t="s">
        <v>356</v>
      </c>
      <c r="C5" s="135"/>
      <c r="D5" s="134">
        <f>IFERROR((' Forecasted FS&gt;'!D9/' Forecasted FS&gt;'!C9)-1,0)</f>
        <v>0.10662951173574475</v>
      </c>
      <c r="E5" s="134">
        <f>IFERROR((' Forecasted FS&gt;'!E9/' Forecasted FS&gt;'!D9)-1,0)</f>
        <v>0.21069551715900947</v>
      </c>
      <c r="F5" s="134">
        <f>IFERROR((' Forecasted FS&gt;'!F9/' Forecasted FS&gt;'!E9)-1,0)</f>
        <v>0.20655864387829759</v>
      </c>
      <c r="G5" s="134">
        <f>IFERROR((' Forecasted FS&gt;'!G9/' Forecasted FS&gt;'!F9)-1,0)</f>
        <v>4.7033733741236095E-2</v>
      </c>
      <c r="H5" s="134">
        <f>IFERROR((' Forecasted FS&gt;'!H9/' Forecasted FS&gt;'!G9)-1,0)</f>
        <v>6.0649443612936782E-2</v>
      </c>
      <c r="I5" s="133">
        <f>IFERROR((' Forecasted FS&gt;'!I9/' Forecasted FS&gt;'!H9)-1,0)</f>
        <v>9.6079514080618544E-2</v>
      </c>
      <c r="J5" s="133"/>
      <c r="K5" s="133">
        <f>IFERROR(AVERAGE(D5:I5),0)</f>
        <v>0.12127439403464053</v>
      </c>
      <c r="L5" s="133">
        <f>IFERROR(MEDIAN(C5:I5),0)</f>
        <v>0.10135451290818165</v>
      </c>
    </row>
    <row r="6" spans="2:12" x14ac:dyDescent="0.3">
      <c r="B6" s="128" t="s">
        <v>355</v>
      </c>
      <c r="D6" s="132">
        <f>IFERROR((' Forecasted FS&gt;'!D21/' Forecasted FS&gt;'!C21)-1,0)</f>
        <v>0.25248125028068436</v>
      </c>
      <c r="E6" s="132">
        <f>IFERROR((' Forecasted FS&gt;'!E21/' Forecasted FS&gt;'!D21)-1,0)</f>
        <v>0.12915486392484499</v>
      </c>
      <c r="F6" s="132">
        <f>IFERROR((' Forecasted FS&gt;'!F21/' Forecasted FS&gt;'!E21)-1,0)</f>
        <v>0.1155568257597408</v>
      </c>
      <c r="G6" s="132">
        <f>IFERROR((' Forecasted FS&gt;'!G21/' Forecasted FS&gt;'!F21)-1,0)</f>
        <v>3.6863079988613823E-2</v>
      </c>
      <c r="H6" s="132">
        <f>IFERROR((' Forecasted FS&gt;'!H21/' Forecasted FS&gt;'!G21)-1,0)</f>
        <v>7.7172271791352109E-2</v>
      </c>
      <c r="I6" s="132">
        <f>IFERROR((' Forecasted FS&gt;'!I21/' Forecasted FS&gt;'!H21)-1,0)</f>
        <v>7.758181262106234E-2</v>
      </c>
      <c r="J6" s="132"/>
      <c r="K6" s="132">
        <f>IFERROR(AVERAGE(D6:I6),0)</f>
        <v>0.11480168406104974</v>
      </c>
      <c r="L6" s="132">
        <f>IFERROR(MEDIAN(C6:I6),0)</f>
        <v>9.656931919040157E-2</v>
      </c>
    </row>
    <row r="7" spans="2:12" x14ac:dyDescent="0.3">
      <c r="B7" s="128" t="s">
        <v>354</v>
      </c>
      <c r="D7" s="132">
        <f>IFERROR((' Forecasted FS&gt;'!D48/' Forecasted FS&gt;'!C48)-1,0)</f>
        <v>0.27087849695468158</v>
      </c>
      <c r="E7" s="132">
        <f>IFERROR((' Forecasted FS&gt;'!E48/' Forecasted FS&gt;'!D48)-1,0)</f>
        <v>0.13780359028511091</v>
      </c>
      <c r="F7" s="132">
        <f>IFERROR((' Forecasted FS&gt;'!F48/' Forecasted FS&gt;'!E48)-1,0)</f>
        <v>0.10315902195252535</v>
      </c>
      <c r="G7" s="132">
        <f>IFERROR((' Forecasted FS&gt;'!G48/' Forecasted FS&gt;'!F48)-1,0)</f>
        <v>2.7244782397670253E-2</v>
      </c>
      <c r="H7" s="132">
        <f>IFERROR((' Forecasted FS&gt;'!H48/' Forecasted FS&gt;'!G48)-1,0)</f>
        <v>8.4322928150691423E-2</v>
      </c>
      <c r="I7" s="132">
        <f>IFERROR((' Forecasted FS&gt;'!I48/' Forecasted FS&gt;'!H48)-1,0)</f>
        <v>8.5812224029746753E-2</v>
      </c>
      <c r="J7" s="132"/>
      <c r="K7" s="132">
        <f>IFERROR(AVERAGE(D7:I7),0)</f>
        <v>0.11820350729507105</v>
      </c>
      <c r="L7" s="132">
        <f>IFERROR(MEDIAN(C7:I7),0)</f>
        <v>9.4485622991136053E-2</v>
      </c>
    </row>
    <row r="8" spans="2:12" x14ac:dyDescent="0.3">
      <c r="B8" s="128" t="s">
        <v>353</v>
      </c>
      <c r="D8" s="132">
        <f>IFERROR((' Forecasted FS&gt;'!D30/' Forecasted FS&gt;'!C30)-1,0)</f>
        <v>0.27197458862736923</v>
      </c>
      <c r="E8" s="132">
        <f>IFERROR((' Forecasted FS&gt;'!E30/' Forecasted FS&gt;'!D30)-1,0)</f>
        <v>0.13869898063618136</v>
      </c>
      <c r="F8" s="132">
        <f>IFERROR((' Forecasted FS&gt;'!F30/' Forecasted FS&gt;'!E30)-1,0)</f>
        <v>0.10088081970159979</v>
      </c>
      <c r="G8" s="132">
        <f>IFERROR((' Forecasted FS&gt;'!G30/' Forecasted FS&gt;'!F30)-1,0)</f>
        <v>2.1423206296332653E-2</v>
      </c>
      <c r="H8" s="132">
        <f>IFERROR((' Forecasted FS&gt;'!H30/' Forecasted FS&gt;'!G30)-1,0)</f>
        <v>8.7316558493461649E-2</v>
      </c>
      <c r="I8" s="132">
        <f>IFERROR((' Forecasted FS&gt;'!I30/' Forecasted FS&gt;'!H30)-1,0)</f>
        <v>8.6861914843566312E-2</v>
      </c>
      <c r="J8" s="132"/>
      <c r="K8" s="132">
        <f>IFERROR(AVERAGE(D8:I8),0)</f>
        <v>0.1178593447664185</v>
      </c>
      <c r="L8" s="132">
        <f>IFERROR(MEDIAN(C8:I8),0)</f>
        <v>9.4098689097530719E-2</v>
      </c>
    </row>
    <row r="9" spans="2:12" x14ac:dyDescent="0.3">
      <c r="B9" s="131" t="s">
        <v>352</v>
      </c>
      <c r="C9" s="131"/>
      <c r="D9" s="130">
        <f>IFERROR((' Forecasted FS&gt;'!D44/' Forecasted FS&gt;'!C44)-1,0)</f>
        <v>0.54369512340846549</v>
      </c>
      <c r="E9" s="130">
        <f>IFERROR((' Forecasted FS&gt;'!E44/' Forecasted FS&gt;'!D44)-1,0)</f>
        <v>0.14865158399694378</v>
      </c>
      <c r="F9" s="130">
        <f>IFERROR((' Forecasted FS&gt;'!F44/' Forecasted FS&gt;'!E44)-1,0)</f>
        <v>9.6761529392781709E-2</v>
      </c>
      <c r="G9" s="130">
        <f>IFERROR((' Forecasted FS&gt;'!G44/' Forecasted FS&gt;'!F44)-1,0)</f>
        <v>0.35349861290755547</v>
      </c>
      <c r="H9" s="130">
        <f>IFERROR((' Forecasted FS&gt;'!H44/' Forecasted FS&gt;'!G44)-1,0)</f>
        <v>-6.4855345095345629E-2</v>
      </c>
      <c r="I9" s="129">
        <f>IFERROR((' Forecasted FS&gt;'!I44/' Forecasted FS&gt;'!H44)-1,0)</f>
        <v>0.11614900276192253</v>
      </c>
      <c r="J9" s="129"/>
      <c r="K9" s="129">
        <f>IFERROR(AVERAGE(D9:I9),0)</f>
        <v>0.1989834178953872</v>
      </c>
      <c r="L9" s="129">
        <f>IFERROR(MEDIAN(C9:I9),0)</f>
        <v>0.13240029337943315</v>
      </c>
    </row>
    <row r="10" spans="2:12" x14ac:dyDescent="0.3">
      <c r="J10" s="136"/>
      <c r="L10" s="136"/>
    </row>
    <row r="11" spans="2:12" x14ac:dyDescent="0.3">
      <c r="B11" s="135" t="s">
        <v>351</v>
      </c>
      <c r="C11" s="134">
        <f>IFERROR(' Forecasted FS&gt;'!C16,0)</f>
        <v>0.31479992510270843</v>
      </c>
      <c r="D11" s="134">
        <f>IFERROR(' Forecasted FS&gt;'!D16,0)</f>
        <v>0.31831754120550998</v>
      </c>
      <c r="E11" s="134">
        <f>IFERROR(' Forecasted FS&gt;'!E16,0)</f>
        <v>0.30271043480405457</v>
      </c>
      <c r="F11" s="134">
        <f>IFERROR(' Forecasted FS&gt;'!F16,0)</f>
        <v>0.28539794367943749</v>
      </c>
      <c r="G11" s="134">
        <f>IFERROR(' Forecasted FS&gt;'!G16,0)</f>
        <v>0.28398516301164833</v>
      </c>
      <c r="H11" s="134">
        <f>IFERROR(' Forecasted FS&gt;'!H16,0)</f>
        <v>0.2847107184489846</v>
      </c>
      <c r="I11" s="133">
        <f>IFERROR(' Forecasted FS&gt;'!I16,0)</f>
        <v>0.28207668625804644</v>
      </c>
      <c r="J11" s="133"/>
      <c r="K11" s="133">
        <f>IFERROR(AVERAGE(C11:I11),0)</f>
        <v>0.29599977321576992</v>
      </c>
      <c r="L11" s="133">
        <f>IFERROR(MEDIAN(C11:I11),0)</f>
        <v>0.28539794367943749</v>
      </c>
    </row>
    <row r="12" spans="2:12" x14ac:dyDescent="0.3">
      <c r="B12" s="128" t="s">
        <v>350</v>
      </c>
      <c r="C12" s="132">
        <f>IFERROR(' Forecasted FS&gt;'!C22,0)</f>
        <v>0.24525558700752279</v>
      </c>
      <c r="D12" s="132">
        <f>IFERROR(' Forecasted FS&gt;'!D22,0)</f>
        <v>0.27757982323433394</v>
      </c>
      <c r="E12" s="132">
        <f>IFERROR(' Forecasted FS&gt;'!E22,0)</f>
        <v>0.25888475102966929</v>
      </c>
      <c r="F12" s="132">
        <f>IFERROR(' Forecasted FS&gt;'!F22,0)</f>
        <v>0.23935898396778568</v>
      </c>
      <c r="G12" s="132">
        <f>IFERROR(' Forecasted FS&gt;'!G22,0)</f>
        <v>0.23703390381987374</v>
      </c>
      <c r="H12" s="132">
        <f>IFERROR(' Forecasted FS&gt;'!H22,0)</f>
        <v>0.24072642493404503</v>
      </c>
      <c r="I12" s="132">
        <f>IFERROR(' Forecasted FS&gt;'!I22,0)</f>
        <v>0.23666386789812482</v>
      </c>
      <c r="J12" s="132"/>
      <c r="K12" s="132">
        <f>IFERROR(AVERAGE(C12:I12),0)</f>
        <v>0.24792904884162217</v>
      </c>
      <c r="L12" s="132">
        <f>IFERROR(MEDIAN(C12:I12),0)</f>
        <v>0.24072642493404503</v>
      </c>
    </row>
    <row r="13" spans="2:12" x14ac:dyDescent="0.3">
      <c r="B13" s="128" t="s">
        <v>349</v>
      </c>
      <c r="C13" s="132">
        <f>IFERROR(' Forecasted FS&gt;'!C49,0)</f>
        <v>0.21339119516251612</v>
      </c>
      <c r="D13" s="132">
        <f>IFERROR(' Forecasted FS&gt;'!D49,0)</f>
        <v>0.24506330121824987</v>
      </c>
      <c r="E13" s="132">
        <f>IFERROR(' Forecasted FS&gt;'!E49,0)</f>
        <v>0.23030885967724699</v>
      </c>
      <c r="F13" s="132">
        <f>IFERROR(' Forecasted FS&gt;'!F49,0)</f>
        <v>0.21057185879659596</v>
      </c>
      <c r="G13" s="132">
        <f>IFERROR(' Forecasted FS&gt;'!G49,0)</f>
        <v>0.20659204789483959</v>
      </c>
      <c r="H13" s="132">
        <f>IFERROR(' Forecasted FS&gt;'!H49,0)</f>
        <v>0.21120314129701209</v>
      </c>
      <c r="I13" s="132">
        <f>IFERROR(' Forecasted FS&gt;'!I49,0)</f>
        <v>0.20922474111390987</v>
      </c>
      <c r="J13" s="132"/>
      <c r="K13" s="132">
        <f>IFERROR(AVERAGE(C13:I13),0)</f>
        <v>0.21805073502291009</v>
      </c>
      <c r="L13" s="132">
        <f>IFERROR(MEDIAN(C13:I13),0)</f>
        <v>0.21120314129701209</v>
      </c>
    </row>
    <row r="14" spans="2:12" x14ac:dyDescent="0.3">
      <c r="B14" s="128" t="s">
        <v>348</v>
      </c>
      <c r="C14" s="132">
        <f>IFERROR(' Forecasted FS&gt;'!C31,0)</f>
        <v>0.211518762872972</v>
      </c>
      <c r="D14" s="132">
        <f>IFERROR(' Forecasted FS&gt;'!D31,0)</f>
        <v>0.24312246197945697</v>
      </c>
      <c r="E14" s="132">
        <f>IFERROR(' Forecasted FS&gt;'!E31,0)</f>
        <v>0.2286646772058763</v>
      </c>
      <c r="F14" s="132">
        <f>IFERROR(' Forecasted FS&gt;'!F31,0)</f>
        <v>0.20863681890343197</v>
      </c>
      <c r="G14" s="132">
        <f>IFERROR(' Forecasted FS&gt;'!G31,0)</f>
        <v>0.20353354591006703</v>
      </c>
      <c r="H14" s="132">
        <f>IFERROR(' Forecasted FS&gt;'!H31,0)</f>
        <v>0.20865083747469171</v>
      </c>
      <c r="I14" s="132">
        <f>IFERROR(' Forecasted FS&gt;'!I31,0)</f>
        <v>0.20689616568709768</v>
      </c>
      <c r="J14" s="132"/>
      <c r="K14" s="132">
        <f>IFERROR(AVERAGE(C14:I14),0)</f>
        <v>0.21586046714765628</v>
      </c>
      <c r="L14" s="132">
        <f>IFERROR(MEDIAN(C14:I14),0)</f>
        <v>0.20865083747469171</v>
      </c>
    </row>
    <row r="15" spans="2:12" x14ac:dyDescent="0.3">
      <c r="B15" s="131" t="s">
        <v>347</v>
      </c>
      <c r="C15" s="130">
        <f>IFERROR(' Forecasted FS&gt;'!C37,0)</f>
        <v>0.15239395975372008</v>
      </c>
      <c r="D15" s="130">
        <f>IFERROR(' Forecasted FS&gt;'!D37,0)</f>
        <v>0.17141094036149376</v>
      </c>
      <c r="E15" s="130">
        <f>IFERROR(' Forecasted FS&gt;'!E37,0)</f>
        <v>0.16319333119589613</v>
      </c>
      <c r="F15" s="130">
        <f>IFERROR(' Forecasted FS&gt;'!F37,0)</f>
        <v>0.14585703870761138</v>
      </c>
      <c r="G15" s="130">
        <f>IFERROR(' Forecasted FS&gt;'!G37,0)</f>
        <v>0.14015097286392919</v>
      </c>
      <c r="H15" s="130">
        <f>IFERROR(' Forecasted FS&gt;'!H37,0)</f>
        <v>0.14203325357383889</v>
      </c>
      <c r="I15" s="129">
        <f>IFERROR(' Forecasted FS&gt;'!I37,0)</f>
        <v>0.14800447802966696</v>
      </c>
      <c r="J15" s="129"/>
      <c r="K15" s="129">
        <f>IFERROR(AVERAGE(C15:I15),0)</f>
        <v>0.15186342492659377</v>
      </c>
      <c r="L15" s="129">
        <f>IFERROR(MEDIAN(C15:I15),0)</f>
        <v>0.14800447802966696</v>
      </c>
    </row>
    <row r="16" spans="2:12" x14ac:dyDescent="0.3">
      <c r="J16" s="136"/>
      <c r="L16" s="136"/>
    </row>
    <row r="17" spans="2:12" x14ac:dyDescent="0.3">
      <c r="B17" s="135" t="s">
        <v>346</v>
      </c>
      <c r="C17" s="134">
        <f>IFERROR(' Forecasted FS&gt;'!C19,0)</f>
        <v>6.9544338095185648E-2</v>
      </c>
      <c r="D17" s="134">
        <f>IFERROR(' Forecasted FS&gt;'!D19,0)</f>
        <v>4.0737717971176049E-2</v>
      </c>
      <c r="E17" s="134">
        <f>IFERROR(' Forecasted FS&gt;'!E19,0)</f>
        <v>4.3825683774385282E-2</v>
      </c>
      <c r="F17" s="134">
        <f>IFERROR(' Forecasted FS&gt;'!F19,0)</f>
        <v>4.6038959711651804E-2</v>
      </c>
      <c r="G17" s="134">
        <f>IFERROR(' Forecasted FS&gt;'!G19,0)</f>
        <v>4.6951259191774584E-2</v>
      </c>
      <c r="H17" s="134">
        <f>IFERROR(' Forecasted FS&gt;'!H19,0)</f>
        <v>4.3984293514939564E-2</v>
      </c>
      <c r="I17" s="133">
        <f>IFERROR(' Forecasted FS&gt;'!I19,0)</f>
        <v>4.5412818359921635E-2</v>
      </c>
      <c r="J17" s="133"/>
      <c r="K17" s="133">
        <f>IFERROR(AVERAGE(C17:I17),0)</f>
        <v>4.8070724374147791E-2</v>
      </c>
      <c r="L17" s="133">
        <f>IFERROR(MEDIAN(C17:I17),0)</f>
        <v>4.5412818359921635E-2</v>
      </c>
    </row>
    <row r="18" spans="2:12" x14ac:dyDescent="0.3">
      <c r="B18" s="128" t="s">
        <v>345</v>
      </c>
      <c r="C18" s="132">
        <f>IFERROR(' Forecasted FS&gt;'!C28,0)</f>
        <v>3.1864391845006661E-2</v>
      </c>
      <c r="D18" s="132">
        <f>IFERROR(' Forecasted FS&gt;'!D28,0)</f>
        <v>3.2516522016084085E-2</v>
      </c>
      <c r="E18" s="132">
        <f>IFERROR(' Forecasted FS&gt;'!E28,0)</f>
        <v>2.8575891352422292E-2</v>
      </c>
      <c r="F18" s="132">
        <f>IFERROR(' Forecasted FS&gt;'!F28,0)</f>
        <v>2.8787125171189708E-2</v>
      </c>
      <c r="G18" s="132">
        <f>IFERROR(' Forecasted FS&gt;'!G28,0)</f>
        <v>3.0441855925034164E-2</v>
      </c>
      <c r="H18" s="132">
        <f>IFERROR(' Forecasted FS&gt;'!H28,0)</f>
        <v>2.9523283637032948E-2</v>
      </c>
      <c r="I18" s="132">
        <f>IFERROR(' Forecasted FS&gt;'!I28,0)</f>
        <v>2.7439126784214944E-2</v>
      </c>
      <c r="J18" s="132"/>
      <c r="K18" s="132">
        <f>IFERROR(AVERAGE(C18:I18),0)</f>
        <v>2.9878313818712112E-2</v>
      </c>
      <c r="L18" s="132">
        <f>IFERROR(MEDIAN(C18:I18),0)</f>
        <v>2.9523283637032948E-2</v>
      </c>
    </row>
    <row r="19" spans="2:12" x14ac:dyDescent="0.3">
      <c r="B19" s="131" t="s">
        <v>344</v>
      </c>
      <c r="C19" s="130">
        <f t="shared" ref="C19:I19" si="0">IFERROR(C13,0)</f>
        <v>0.21339119516251612</v>
      </c>
      <c r="D19" s="130">
        <f t="shared" si="0"/>
        <v>0.24506330121824987</v>
      </c>
      <c r="E19" s="130">
        <f t="shared" si="0"/>
        <v>0.23030885967724699</v>
      </c>
      <c r="F19" s="130">
        <f t="shared" si="0"/>
        <v>0.21057185879659596</v>
      </c>
      <c r="G19" s="130">
        <f t="shared" si="0"/>
        <v>0.20659204789483959</v>
      </c>
      <c r="H19" s="130">
        <f t="shared" si="0"/>
        <v>0.21120314129701209</v>
      </c>
      <c r="I19" s="129">
        <f t="shared" si="0"/>
        <v>0.20922474111390987</v>
      </c>
      <c r="J19" s="129"/>
      <c r="K19" s="129">
        <f>IFERROR(AVERAGE(C19:I19),0)</f>
        <v>0.21805073502291009</v>
      </c>
      <c r="L19" s="129">
        <f>IFERROR(MEDIAN(C19:I19),0)</f>
        <v>0.21120314129701209</v>
      </c>
    </row>
    <row r="20" spans="2:12" x14ac:dyDescent="0.3">
      <c r="J20" s="136"/>
      <c r="L20" s="136"/>
    </row>
    <row r="21" spans="2:12" x14ac:dyDescent="0.3">
      <c r="B21" s="135" t="s">
        <v>343</v>
      </c>
      <c r="C21" s="134">
        <f>(' Forecasted FS&gt;'!C21-' Forecasted FS&gt;'!C27)/(SUM(' Forecasted FS&gt;'!C52:C54))</f>
        <v>0.27644364539189248</v>
      </c>
      <c r="D21" s="134">
        <f>(' Forecasted FS&gt;'!D21-' Forecasted FS&gt;'!D27)/(SUM(' Forecasted FS&gt;'!D52:D54))</f>
        <v>0.30145942504530093</v>
      </c>
      <c r="E21" s="134">
        <f>(' Forecasted FS&gt;'!E21-' Forecasted FS&gt;'!E27)/(SUM(' Forecasted FS&gt;'!E52:E54))</f>
        <v>0.34661734138374739</v>
      </c>
      <c r="F21" s="134">
        <f>(' Forecasted FS&gt;'!F21-' Forecasted FS&gt;'!F27)/(SUM(' Forecasted FS&gt;'!F52:F54))</f>
        <v>0.36920889780899818</v>
      </c>
      <c r="G21" s="134">
        <f>(' Forecasted FS&gt;'!G21-' Forecasted FS&gt;'!G27)/(SUM(' Forecasted FS&gt;'!G52:G54))</f>
        <v>0.32906970717802542</v>
      </c>
      <c r="H21" s="134">
        <f>(' Forecasted FS&gt;'!H21-' Forecasted FS&gt;'!H27)/(SUM(' Forecasted FS&gt;'!H52:H54))</f>
        <v>0.33085684079004279</v>
      </c>
      <c r="I21" s="133">
        <f>(' Forecasted FS&gt;'!I21-' Forecasted FS&gt;'!I27)/(SUM(' Forecasted FS&gt;'!I52:I54))</f>
        <v>0.36635041361194964</v>
      </c>
      <c r="J21" s="133"/>
      <c r="K21" s="133">
        <f>IFERROR(AVERAGE(C21:I21),0)</f>
        <v>0.33142946731570816</v>
      </c>
      <c r="L21" s="133">
        <f>IFERROR(MEDIAN(C21:I21),0)</f>
        <v>0.33085684079004279</v>
      </c>
    </row>
    <row r="22" spans="2:12" x14ac:dyDescent="0.3">
      <c r="B22" s="128" t="s">
        <v>342</v>
      </c>
      <c r="C22" s="132">
        <f>IFERROR(' Forecasted FS&gt;'!C47,0)</f>
        <v>0.46321191095692393</v>
      </c>
      <c r="D22" s="132">
        <f>IFERROR(' Forecasted FS&gt;'!D47,0)</f>
        <v>0.33401463244687024</v>
      </c>
      <c r="E22" s="132">
        <f>IFERROR(' Forecasted FS&gt;'!E47,0)</f>
        <v>0.3447383003375144</v>
      </c>
      <c r="F22" s="132">
        <f>IFERROR(' Forecasted FS&gt;'!F47,0)</f>
        <v>0.34277572756574948</v>
      </c>
      <c r="G22" s="132">
        <f>IFERROR(' Forecasted FS&gt;'!G47,0)</f>
        <v>0.1153271114825648</v>
      </c>
      <c r="H22" s="132">
        <f>IFERROR(' Forecasted FS&gt;'!H47,0)</f>
        <v>0.22990064794816423</v>
      </c>
      <c r="I22" s="132">
        <f>IFERROR(' Forecasted FS&gt;'!I47,0)</f>
        <v>0.26514125789493581</v>
      </c>
      <c r="J22" s="132"/>
      <c r="K22" s="132">
        <f>IFERROR(AVERAGE(C22:I22),0)</f>
        <v>0.2993013698046747</v>
      </c>
      <c r="L22" s="132">
        <f>IFERROR(MEDIAN(C22:I22),0)</f>
        <v>0.33401463244687024</v>
      </c>
    </row>
    <row r="23" spans="2:12" x14ac:dyDescent="0.3">
      <c r="B23" s="128" t="s">
        <v>341</v>
      </c>
      <c r="C23" s="132">
        <f>IFERROR(' Forecasted FS&gt;'!C36/(SUM(' Forecasted FS&gt;'!C52:C53)),0)</f>
        <v>0.21139801375095493</v>
      </c>
      <c r="D23" s="132">
        <f>IFERROR(' Forecasted FS&gt;'!D36/(SUM(' Forecasted FS&gt;'!D52:D53)),0)</f>
        <v>0.22556351586750664</v>
      </c>
      <c r="E23" s="132">
        <f>IFERROR(' Forecasted FS&gt;'!E36/(SUM(' Forecasted FS&gt;'!E52:E53)),0)</f>
        <v>0.26345056403450562</v>
      </c>
      <c r="F23" s="132">
        <f>IFERROR(' Forecasted FS&gt;'!F36/(SUM(' Forecasted FS&gt;'!F52:F53)),0)</f>
        <v>0.28388611136897107</v>
      </c>
      <c r="G23" s="132">
        <f>IFERROR(' Forecasted FS&gt;'!G36/(SUM(' Forecasted FS&gt;'!G52:G53)),0)</f>
        <v>0.24441645104180854</v>
      </c>
      <c r="H23" s="132">
        <f>IFERROR(' Forecasted FS&gt;'!H36/(SUM(' Forecasted FS&gt;'!H52:H53)),0)</f>
        <v>0.24160387401114614</v>
      </c>
      <c r="I23" s="132">
        <f>IFERROR(' Forecasted FS&gt;'!I36/(SUM(' Forecasted FS&gt;'!I52:I53)),0)</f>
        <v>0.28476500236936197</v>
      </c>
      <c r="J23" s="132"/>
      <c r="K23" s="132">
        <f>IFERROR(AVERAGE(C23:I23),0)</f>
        <v>0.25072621892060781</v>
      </c>
      <c r="L23" s="132">
        <f>IFERROR(MEDIAN(C23:I23),0)</f>
        <v>0.24441645104180854</v>
      </c>
    </row>
    <row r="24" spans="2:12" x14ac:dyDescent="0.3">
      <c r="B24" s="128" t="s">
        <v>340</v>
      </c>
      <c r="C24" s="132">
        <f t="shared" ref="C24:I24" si="1">IFERROR(C22*C23,0)</f>
        <v>9.7922077922077924E-2</v>
      </c>
      <c r="D24" s="132">
        <f t="shared" si="1"/>
        <v>7.5341514845909008E-2</v>
      </c>
      <c r="E24" s="132">
        <f t="shared" si="1"/>
        <v>9.0821499668214969E-2</v>
      </c>
      <c r="F24" s="132">
        <f t="shared" si="1"/>
        <v>9.7309268370310439E-2</v>
      </c>
      <c r="G24" s="132">
        <f t="shared" si="1"/>
        <v>2.8187843297471496E-2</v>
      </c>
      <c r="H24" s="132">
        <f t="shared" si="1"/>
        <v>5.554488718194913E-2</v>
      </c>
      <c r="I24" s="132">
        <f t="shared" si="1"/>
        <v>7.5502950932667012E-2</v>
      </c>
      <c r="J24" s="132"/>
      <c r="K24" s="132">
        <f>IFERROR(AVERAGE(C24:I24),0)</f>
        <v>7.4375720316942839E-2</v>
      </c>
      <c r="L24" s="132">
        <f>IFERROR(MEDIAN(C24:I24),0)</f>
        <v>7.5502950932667012E-2</v>
      </c>
    </row>
    <row r="25" spans="2:12" x14ac:dyDescent="0.3">
      <c r="B25" s="131" t="s">
        <v>339</v>
      </c>
      <c r="C25" s="143">
        <f>' Forecasted FS&gt;'!C21/' Forecasted FS&gt;'!C24</f>
        <v>130.98235294117646</v>
      </c>
      <c r="D25" s="143">
        <f>' Forecasted FS&gt;'!D21/' Forecasted FS&gt;'!D24</f>
        <v>143.02051282051283</v>
      </c>
      <c r="E25" s="143">
        <f>' Forecasted FS&gt;'!E21/' Forecasted FS&gt;'!E24</f>
        <v>157.45500000000001</v>
      </c>
      <c r="F25" s="143">
        <f>' Forecasted FS&gt;'!F21/' Forecasted FS&gt;'!F24</f>
        <v>123.69718309859155</v>
      </c>
      <c r="G25" s="143">
        <f>' Forecasted FS&gt;'!G21/' Forecasted FS&gt;'!G24</f>
        <v>77.5</v>
      </c>
      <c r="H25" s="143">
        <f>' Forecasted FS&gt;'!H21/' Forecasted FS&gt;'!H24</f>
        <v>94.317307692307693</v>
      </c>
      <c r="I25" s="142">
        <f>' Forecasted FS&gt;'!I21/' Forecasted FS&gt;'!I24</f>
        <v>101.63461538461539</v>
      </c>
      <c r="J25" s="129"/>
      <c r="K25" s="142">
        <f>IFERROR(AVERAGE(C25:I25),0)</f>
        <v>118.37242456245771</v>
      </c>
      <c r="L25" s="129">
        <f>IFERROR(MEDIAN(C25:I25),0)</f>
        <v>123.69718309859155</v>
      </c>
    </row>
    <row r="26" spans="2:12" x14ac:dyDescent="0.3">
      <c r="J26" s="136"/>
      <c r="L26" s="136"/>
    </row>
    <row r="27" spans="2:12" x14ac:dyDescent="0.3">
      <c r="B27" s="135" t="s">
        <v>338</v>
      </c>
      <c r="C27" s="146">
        <f>' Forecasted FS&gt;'!C9/' Forecasted FS&gt;'!C64</f>
        <v>4.9110726456428839</v>
      </c>
      <c r="D27" s="146">
        <f>' Forecasted FS&gt;'!D9/' Forecasted FS&gt;'!D64</f>
        <v>5.2074219964755883</v>
      </c>
      <c r="E27" s="146">
        <f>' Forecasted FS&gt;'!E9/' Forecasted FS&gt;'!E64</f>
        <v>5.3591065292096216</v>
      </c>
      <c r="F27" s="146">
        <f>' Forecasted FS&gt;'!F9/' Forecasted FS&gt;'!F64</f>
        <v>5.7727737570799249</v>
      </c>
      <c r="G27" s="146">
        <f>' Forecasted FS&gt;'!G9/' Forecasted FS&gt;'!G64</f>
        <v>5.0895903023879709</v>
      </c>
      <c r="H27" s="146">
        <f>' Forecasted FS&gt;'!H9/' Forecasted FS&gt;'!H64</f>
        <v>5.2310803004043906</v>
      </c>
      <c r="I27" s="145">
        <f>' Forecasted FS&gt;'!I9/' Forecasted FS&gt;'!I64</f>
        <v>5.0703865584378729</v>
      </c>
      <c r="J27" s="133"/>
      <c r="K27" s="145">
        <f>IFERROR(AVERAGE(C27:I27),0)</f>
        <v>5.2344902985197503</v>
      </c>
      <c r="L27" s="145">
        <f>IFERROR(MEDIAN(C27:I27),0)</f>
        <v>5.2074219964755883</v>
      </c>
    </row>
    <row r="28" spans="2:12" x14ac:dyDescent="0.3">
      <c r="B28" s="128" t="s">
        <v>337</v>
      </c>
      <c r="C28" s="144">
        <f>' Forecasted FS&gt;'!C9/' Forecasted FS&gt;'!C55</f>
        <v>4.1806418934475298</v>
      </c>
      <c r="D28" s="144">
        <f>' Forecasted FS&gt;'!D9/' Forecasted FS&gt;'!D55</f>
        <v>3.8889878072382427</v>
      </c>
      <c r="E28" s="144">
        <f>' Forecasted FS&gt;'!E9/' Forecasted FS&gt;'!E55</f>
        <v>3.3878568444506336</v>
      </c>
      <c r="F28" s="144">
        <f>' Forecasted FS&gt;'!F9/' Forecasted FS&gt;'!F55</f>
        <v>3.5893127904133042</v>
      </c>
      <c r="G28" s="144">
        <f>' Forecasted FS&gt;'!G9/' Forecasted FS&gt;'!G55</f>
        <v>3.8859527121001389</v>
      </c>
      <c r="H28" s="144">
        <f>' Forecasted FS&gt;'!H9/' Forecasted FS&gt;'!H55</f>
        <v>3.7254857142857141</v>
      </c>
      <c r="I28" s="144">
        <f>' Forecasted FS&gt;'!I9/' Forecasted FS&gt;'!I55</f>
        <v>3.4184845005740527</v>
      </c>
      <c r="J28" s="132"/>
      <c r="K28" s="144">
        <f>IFERROR(AVERAGE(C28:I28),0)</f>
        <v>3.7252460375013738</v>
      </c>
      <c r="L28" s="144">
        <f>IFERROR(MEDIAN(C28:I28),0)</f>
        <v>3.7254857142857141</v>
      </c>
    </row>
    <row r="29" spans="2:12" x14ac:dyDescent="0.3">
      <c r="B29" s="128" t="s">
        <v>336</v>
      </c>
      <c r="C29" s="128">
        <f>IFERROR(' Forecasted FS&gt;'!C9/' Forecasted FS&gt;'!C65,0)</f>
        <v>0</v>
      </c>
      <c r="D29" s="128">
        <f>IFERROR(' Forecasted FS&gt;'!D9/' Forecasted FS&gt;'!D65,0)</f>
        <v>0</v>
      </c>
      <c r="E29" s="128">
        <f>IFERROR(' Forecasted FS&gt;'!E9/' Forecasted FS&gt;'!E65,0)</f>
        <v>0</v>
      </c>
      <c r="F29" s="128">
        <f>IFERROR(' Forecasted FS&gt;'!F9/' Forecasted FS&gt;'!F65,0)</f>
        <v>0</v>
      </c>
      <c r="G29" s="128">
        <f>IFERROR(' Forecasted FS&gt;'!G9/' Forecasted FS&gt;'!G65,0)</f>
        <v>0</v>
      </c>
      <c r="H29" s="128">
        <f>IFERROR(' Forecasted FS&gt;'!H9/' Forecasted FS&gt;'!H65,0)</f>
        <v>0</v>
      </c>
      <c r="I29" s="128">
        <f>IFERROR(' Forecasted FS&gt;'!I9/' Forecasted FS&gt;'!I65,0)</f>
        <v>0</v>
      </c>
      <c r="J29" s="132"/>
      <c r="K29" s="144">
        <f>IFERROR(AVERAGE(C29:I29),0)</f>
        <v>0</v>
      </c>
      <c r="L29" s="144">
        <f>IFERROR(MEDIAN(C29:I29),0)</f>
        <v>0</v>
      </c>
    </row>
    <row r="30" spans="2:12" x14ac:dyDescent="0.3">
      <c r="B30" s="128" t="s">
        <v>335</v>
      </c>
      <c r="C30" s="144">
        <f>' Forecasted FS&gt;'!C9/' Forecasted FS&gt;'!C58</f>
        <v>3.8165118332002188</v>
      </c>
      <c r="D30" s="144">
        <f>' Forecasted FS&gt;'!D9/' Forecasted FS&gt;'!D58</f>
        <v>3.9393060184277591</v>
      </c>
      <c r="E30" s="144">
        <f>' Forecasted FS&gt;'!E9/' Forecasted FS&gt;'!E58</f>
        <v>4.7147674418604648</v>
      </c>
      <c r="F30" s="144">
        <f>' Forecasted FS&gt;'!F9/' Forecasted FS&gt;'!F58</f>
        <v>5.0219674935842598</v>
      </c>
      <c r="G30" s="144">
        <f>' Forecasted FS&gt;'!G9/' Forecasted FS&gt;'!G58</f>
        <v>5.5633190934762142</v>
      </c>
      <c r="H30" s="144">
        <f>' Forecasted FS&gt;'!H9/' Forecasted FS&gt;'!H58</f>
        <v>5.2643648460967025</v>
      </c>
      <c r="I30" s="144">
        <f>' Forecasted FS&gt;'!I9/' Forecasted FS&gt;'!I58</f>
        <v>5.2901984009475864</v>
      </c>
      <c r="J30" s="132"/>
      <c r="K30" s="144">
        <f>IFERROR(AVERAGE(C30:I30),0)</f>
        <v>4.8014907325133152</v>
      </c>
      <c r="L30" s="144">
        <f>IFERROR(MEDIAN(C30:I30),0)</f>
        <v>5.0219674935842598</v>
      </c>
    </row>
    <row r="31" spans="2:12" x14ac:dyDescent="0.3">
      <c r="B31" s="131" t="s">
        <v>334</v>
      </c>
      <c r="C31" s="143">
        <f>' Forecasted FS&gt;'!C9/' Forecasted FS&gt;'!C52</f>
        <v>42.785579641847313</v>
      </c>
      <c r="D31" s="143">
        <f>' Forecasted FS&gt;'!D9/' Forecasted FS&gt;'!D52</f>
        <v>47.303201506591336</v>
      </c>
      <c r="E31" s="143">
        <f>' Forecasted FS&gt;'!E9/' Forecasted FS&gt;'!E52</f>
        <v>57.979504289799806</v>
      </c>
      <c r="F31" s="143">
        <f>' Forecasted FS&gt;'!F9/' Forecasted FS&gt;'!F52</f>
        <v>70.936201063315607</v>
      </c>
      <c r="G31" s="143">
        <f>' Forecasted FS&gt;'!G9/' Forecasted FS&gt;'!G52</f>
        <v>74.20086914534042</v>
      </c>
      <c r="H31" s="143">
        <f>' Forecasted FS&gt;'!H9/' Forecasted FS&gt;'!H52</f>
        <v>78.62518089725036</v>
      </c>
      <c r="I31" s="142">
        <f>' Forecasted FS&gt;'!I9/' Forecasted FS&gt;'!I52</f>
        <v>88.265810276679844</v>
      </c>
      <c r="J31" s="129"/>
      <c r="K31" s="142">
        <f>IFERROR(AVERAGE(C31:I31),0)</f>
        <v>65.728049545832079</v>
      </c>
      <c r="L31" s="142">
        <f>IFERROR(MEDIAN(C31:I31),0)</f>
        <v>70.936201063315607</v>
      </c>
    </row>
    <row r="32" spans="2:12" x14ac:dyDescent="0.3">
      <c r="J32" s="136"/>
      <c r="L32" s="136"/>
    </row>
    <row r="33" spans="2:12" x14ac:dyDescent="0.3">
      <c r="B33" s="135" t="s">
        <v>333</v>
      </c>
      <c r="C33" s="141">
        <f t="shared" ref="C33:I34" si="2">365/C27</f>
        <v>74.321849081957467</v>
      </c>
      <c r="D33" s="141">
        <f t="shared" si="2"/>
        <v>70.092264511505689</v>
      </c>
      <c r="E33" s="141">
        <f t="shared" si="2"/>
        <v>68.108368066688044</v>
      </c>
      <c r="F33" s="141">
        <f t="shared" si="2"/>
        <v>63.227837320378555</v>
      </c>
      <c r="G33" s="141">
        <f t="shared" si="2"/>
        <v>71.715006182078483</v>
      </c>
      <c r="H33" s="141">
        <f t="shared" si="2"/>
        <v>69.775262286029815</v>
      </c>
      <c r="I33" s="140">
        <f t="shared" si="2"/>
        <v>71.986621886369988</v>
      </c>
      <c r="J33" s="133"/>
      <c r="K33" s="140">
        <f>IFERROR(AVERAGE(C33:I33),0)</f>
        <v>69.889601333572585</v>
      </c>
      <c r="L33" s="140">
        <f>IFERROR(MEDIAN(C33:I33),0)</f>
        <v>70.092264511505689</v>
      </c>
    </row>
    <row r="34" spans="2:12" x14ac:dyDescent="0.3">
      <c r="B34" s="128" t="s">
        <v>332</v>
      </c>
      <c r="C34" s="139">
        <f t="shared" si="2"/>
        <v>87.307167009945914</v>
      </c>
      <c r="D34" s="139">
        <f t="shared" si="2"/>
        <v>93.854755553786134</v>
      </c>
      <c r="E34" s="139">
        <f t="shared" si="2"/>
        <v>107.73772823307931</v>
      </c>
      <c r="F34" s="139">
        <f t="shared" si="2"/>
        <v>101.69077517425579</v>
      </c>
      <c r="G34" s="139">
        <f t="shared" si="2"/>
        <v>93.928060128847534</v>
      </c>
      <c r="H34" s="139">
        <f t="shared" si="2"/>
        <v>97.973802073746867</v>
      </c>
      <c r="I34" s="139">
        <f t="shared" si="2"/>
        <v>106.77246011754828</v>
      </c>
      <c r="J34" s="132"/>
      <c r="K34" s="139">
        <f>IFERROR(AVERAGE(C34:I34),0)</f>
        <v>98.466392613029967</v>
      </c>
      <c r="L34" s="139">
        <f>IFERROR(MEDIAN(C34:I34),0)</f>
        <v>97.973802073746867</v>
      </c>
    </row>
    <row r="35" spans="2:12" x14ac:dyDescent="0.3">
      <c r="B35" s="128" t="s">
        <v>331</v>
      </c>
      <c r="C35" s="139">
        <f t="shared" ref="C35:I35" si="3">IFERROR(365/C29,0)</f>
        <v>0</v>
      </c>
      <c r="D35" s="139">
        <f t="shared" si="3"/>
        <v>0</v>
      </c>
      <c r="E35" s="139">
        <f t="shared" si="3"/>
        <v>0</v>
      </c>
      <c r="F35" s="139">
        <f t="shared" si="3"/>
        <v>0</v>
      </c>
      <c r="G35" s="139">
        <f t="shared" si="3"/>
        <v>0</v>
      </c>
      <c r="H35" s="139">
        <f t="shared" si="3"/>
        <v>0</v>
      </c>
      <c r="I35" s="139">
        <f t="shared" si="3"/>
        <v>0</v>
      </c>
      <c r="J35" s="132"/>
      <c r="K35" s="139">
        <f>IFERROR(AVERAGE(C35:I35),0)</f>
        <v>0</v>
      </c>
      <c r="L35" s="139">
        <f>IFERROR(MEDIAN(C35:I35),0)</f>
        <v>0</v>
      </c>
    </row>
    <row r="36" spans="2:12" x14ac:dyDescent="0.3">
      <c r="B36" s="131" t="s">
        <v>330</v>
      </c>
      <c r="C36" s="138">
        <f t="shared" ref="C36:I36" si="4">C33+C35-C34</f>
        <v>-12.985317927988447</v>
      </c>
      <c r="D36" s="138">
        <f t="shared" si="4"/>
        <v>-23.762491042280445</v>
      </c>
      <c r="E36" s="138">
        <f t="shared" si="4"/>
        <v>-39.629360166391265</v>
      </c>
      <c r="F36" s="138">
        <f t="shared" si="4"/>
        <v>-38.462937853877236</v>
      </c>
      <c r="G36" s="138">
        <f t="shared" si="4"/>
        <v>-22.213053946769051</v>
      </c>
      <c r="H36" s="138">
        <f t="shared" si="4"/>
        <v>-28.198539787717053</v>
      </c>
      <c r="I36" s="137">
        <f t="shared" si="4"/>
        <v>-34.785838231178289</v>
      </c>
      <c r="J36" s="129"/>
      <c r="K36" s="137">
        <f>IFERROR(AVERAGE(C36:I36),0)</f>
        <v>-28.576791279457399</v>
      </c>
      <c r="L36" s="137">
        <f>IFERROR(MEDIAN(C36:I36),0)</f>
        <v>-28.198539787717053</v>
      </c>
    </row>
    <row r="37" spans="2:12" x14ac:dyDescent="0.3">
      <c r="J37" s="136"/>
      <c r="L37" s="136"/>
    </row>
    <row r="38" spans="2:12" x14ac:dyDescent="0.3">
      <c r="B38" s="135" t="s">
        <v>329</v>
      </c>
      <c r="C38" s="134">
        <f>' Forecasted FS&gt;'!C82/' Forecasted FS&gt;'!C9</f>
        <v>0.18727627187716844</v>
      </c>
      <c r="D38" s="134">
        <f>' Forecasted FS&gt;'!D82/' Forecasted FS&gt;'!D9</f>
        <v>0.23114897682936539</v>
      </c>
      <c r="E38" s="134">
        <f>' Forecasted FS&gt;'!E82/' Forecasted FS&gt;'!E9</f>
        <v>0.1963564916434426</v>
      </c>
      <c r="F38" s="134">
        <f>' Forecasted FS&gt;'!F82/' Forecasted FS&gt;'!F9</f>
        <v>0.15307937070322347</v>
      </c>
      <c r="G38" s="134">
        <f>' Forecasted FS&gt;'!G82/' Forecasted FS&gt;'!G9</f>
        <v>0.16405284050237523</v>
      </c>
      <c r="H38" s="134">
        <f>' Forecasted FS&gt;'!H82/' Forecasted FS&gt;'!H9</f>
        <v>0.21899503036996135</v>
      </c>
      <c r="I38" s="133">
        <f>' Forecasted FS&gt;'!I82/' Forecasted FS&gt;'!I9</f>
        <v>0.19023789532605653</v>
      </c>
      <c r="J38" s="133"/>
      <c r="K38" s="133">
        <f>IFERROR(AVERAGE(C38:I38),0)</f>
        <v>0.19159241103594188</v>
      </c>
      <c r="L38" s="133">
        <f>IFERROR(MEDIAN(C38:I38),0)</f>
        <v>0.19023789532605653</v>
      </c>
    </row>
    <row r="39" spans="2:12" x14ac:dyDescent="0.3">
      <c r="B39" s="128" t="s">
        <v>328</v>
      </c>
      <c r="C39" s="132">
        <f>' Forecasted FS&gt;'!C9/' Forecasted FS&gt;'!C69</f>
        <v>0.98900871459694994</v>
      </c>
      <c r="D39" s="132">
        <f>' Forecasted FS&gt;'!D9/' Forecasted FS&gt;'!D69</f>
        <v>0.9345276297309113</v>
      </c>
      <c r="E39" s="132">
        <f>' Forecasted FS&gt;'!E9/' Forecasted FS&gt;'!E69</f>
        <v>1.0420803742000702</v>
      </c>
      <c r="F39" s="132">
        <f>' Forecasted FS&gt;'!F9/' Forecasted FS&gt;'!F69</f>
        <v>1.1779431121384314</v>
      </c>
      <c r="G39" s="132">
        <f>' Forecasted FS&gt;'!G9/' Forecasted FS&gt;'!G69</f>
        <v>1.1297603293633289</v>
      </c>
      <c r="H39" s="132">
        <f>' Forecasted FS&gt;'!H9/' Forecasted FS&gt;'!H69</f>
        <v>1.1028113264995434</v>
      </c>
      <c r="I39" s="132">
        <f>' Forecasted FS&gt;'!I9/' Forecasted FS&gt;'!I69</f>
        <v>1.1578995125998133</v>
      </c>
      <c r="J39" s="132"/>
      <c r="K39" s="132">
        <f>IFERROR(AVERAGE(C39:I39),0)</f>
        <v>1.0762901427327212</v>
      </c>
      <c r="L39" s="132">
        <f>IFERROR(MEDIAN(C39:I39),0)</f>
        <v>1.1028113264995434</v>
      </c>
    </row>
    <row r="40" spans="2:12" x14ac:dyDescent="0.3">
      <c r="B40" s="131" t="s">
        <v>327</v>
      </c>
      <c r="C40" s="130">
        <f>' Forecasted FS&gt;'!C9/(SUM(' Forecasted FS&gt;'!C54:C55))</f>
        <v>3.4455787476280837</v>
      </c>
      <c r="D40" s="130">
        <f>' Forecasted FS&gt;'!D9/(SUM(' Forecasted FS&gt;'!D54:D55))</f>
        <v>3.2243902439024392</v>
      </c>
      <c r="E40" s="130">
        <f>' Forecasted FS&gt;'!E9/(SUM(' Forecasted FS&gt;'!E54:E55))</f>
        <v>2.9396795475966071</v>
      </c>
      <c r="F40" s="130">
        <f>' Forecasted FS&gt;'!F9/(SUM(' Forecasted FS&gt;'!F54:F55))</f>
        <v>2.9837362011831914</v>
      </c>
      <c r="G40" s="130">
        <f>' Forecasted FS&gt;'!G9/(SUM(' Forecasted FS&gt;'!G54:G55))</f>
        <v>3.207874081496326</v>
      </c>
      <c r="H40" s="130">
        <f>' Forecasted FS&gt;'!H9/(SUM(' Forecasted FS&gt;'!H54:H55))</f>
        <v>3.1358100698385822</v>
      </c>
      <c r="I40" s="129">
        <f>' Forecasted FS&gt;'!I9/(SUM(' Forecasted FS&gt;'!I54:I55))</f>
        <v>2.907904160427111</v>
      </c>
      <c r="J40" s="129"/>
      <c r="K40" s="129">
        <f>IFERROR(AVERAGE(C40:I40),0)</f>
        <v>3.1207104360103344</v>
      </c>
      <c r="L40" s="129">
        <f>IFERROR(MEDIAN(C40:I40),0)</f>
        <v>3.1358100698385822</v>
      </c>
    </row>
  </sheetData>
  <mergeCells count="1">
    <mergeCell ref="B2:J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F4E1059-E5AB-4AE0-8CAE-F6958D716CB5}">
          <x14:colorSeries rgb="FF376092"/>
          <x14:colorNegative rgb="FFD00000"/>
          <x14:colorAxis rgb="FF000000"/>
          <x14:colorMarkers theme="7" tint="-0.499984740745262"/>
          <x14:colorFirst rgb="FFD00000"/>
          <x14:colorLast rgb="FFD00000"/>
          <x14:colorHigh rgb="FFD00000"/>
          <x14:colorLow rgb="FFD00000"/>
          <x14:sparklines>
            <x14:sparkline>
              <xm:f>'Ratio Analysis'!C11:I11</xm:f>
              <xm:sqref>J11</xm:sqref>
            </x14:sparkline>
            <x14:sparkline>
              <xm:f>'Ratio Analysis'!C12:I12</xm:f>
              <xm:sqref>J12</xm:sqref>
            </x14:sparkline>
            <x14:sparkline>
              <xm:f>'Ratio Analysis'!C13:I13</xm:f>
              <xm:sqref>J13</xm:sqref>
            </x14:sparkline>
            <x14:sparkline>
              <xm:f>'Ratio Analysis'!C14:I14</xm:f>
              <xm:sqref>J14</xm:sqref>
            </x14:sparkline>
            <x14:sparkline>
              <xm:f>'Ratio Analysis'!C15:I15</xm:f>
              <xm:sqref>J15</xm:sqref>
            </x14:sparkline>
            <x14:sparkline>
              <xm:f>'Ratio Analysis'!C16:I16</xm:f>
              <xm:sqref>J16</xm:sqref>
            </x14:sparkline>
            <x14:sparkline>
              <xm:f>'Ratio Analysis'!C17:I17</xm:f>
              <xm:sqref>J17</xm:sqref>
            </x14:sparkline>
            <x14:sparkline>
              <xm:f>'Ratio Analysis'!C18:I18</xm:f>
              <xm:sqref>J18</xm:sqref>
            </x14:sparkline>
            <x14:sparkline>
              <xm:f>'Ratio Analysis'!C19:I19</xm:f>
              <xm:sqref>J19</xm:sqref>
            </x14:sparkline>
            <x14:sparkline>
              <xm:f>'Ratio Analysis'!C20:I20</xm:f>
              <xm:sqref>J20</xm:sqref>
            </x14:sparkline>
            <x14:sparkline>
              <xm:f>'Ratio Analysis'!C21:I21</xm:f>
              <xm:sqref>J21</xm:sqref>
            </x14:sparkline>
            <x14:sparkline>
              <xm:f>'Ratio Analysis'!C22:I22</xm:f>
              <xm:sqref>J22</xm:sqref>
            </x14:sparkline>
            <x14:sparkline>
              <xm:f>'Ratio Analysis'!C23:I23</xm:f>
              <xm:sqref>J23</xm:sqref>
            </x14:sparkline>
            <x14:sparkline>
              <xm:f>'Ratio Analysis'!C24:I24</xm:f>
              <xm:sqref>J24</xm:sqref>
            </x14:sparkline>
            <x14:sparkline>
              <xm:f>'Ratio Analysis'!C25:I25</xm:f>
              <xm:sqref>J25</xm:sqref>
            </x14:sparkline>
            <x14:sparkline>
              <xm:f>'Ratio Analysis'!C26:I26</xm:f>
              <xm:sqref>J26</xm:sqref>
            </x14:sparkline>
            <x14:sparkline>
              <xm:f>'Ratio Analysis'!C27:I27</xm:f>
              <xm:sqref>J27</xm:sqref>
            </x14:sparkline>
            <x14:sparkline>
              <xm:f>'Ratio Analysis'!C28:I28</xm:f>
              <xm:sqref>J28</xm:sqref>
            </x14:sparkline>
            <x14:sparkline>
              <xm:f>'Ratio Analysis'!C29:I29</xm:f>
              <xm:sqref>J29</xm:sqref>
            </x14:sparkline>
            <x14:sparkline>
              <xm:f>'Ratio Analysis'!C30:I30</xm:f>
              <xm:sqref>J30</xm:sqref>
            </x14:sparkline>
            <x14:sparkline>
              <xm:f>'Ratio Analysis'!C31:I31</xm:f>
              <xm:sqref>J31</xm:sqref>
            </x14:sparkline>
            <x14:sparkline>
              <xm:f>'Ratio Analysis'!C32:I32</xm:f>
              <xm:sqref>J32</xm:sqref>
            </x14:sparkline>
            <x14:sparkline>
              <xm:f>'Ratio Analysis'!C33:I33</xm:f>
              <xm:sqref>J33</xm:sqref>
            </x14:sparkline>
            <x14:sparkline>
              <xm:f>'Ratio Analysis'!C34:I34</xm:f>
              <xm:sqref>J34</xm:sqref>
            </x14:sparkline>
            <x14:sparkline>
              <xm:f>'Ratio Analysis'!C35:I35</xm:f>
              <xm:sqref>J35</xm:sqref>
            </x14:sparkline>
            <x14:sparkline>
              <xm:f>'Ratio Analysis'!C36:I36</xm:f>
              <xm:sqref>J36</xm:sqref>
            </x14:sparkline>
            <x14:sparkline>
              <xm:f>'Ratio Analysis'!C37:I37</xm:f>
              <xm:sqref>J37</xm:sqref>
            </x14:sparkline>
            <x14:sparkline>
              <xm:f>'Ratio Analysis'!C38:I38</xm:f>
              <xm:sqref>J38</xm:sqref>
            </x14:sparkline>
            <x14:sparkline>
              <xm:f>'Ratio Analysis'!C39:I39</xm:f>
              <xm:sqref>J39</xm:sqref>
            </x14:sparkline>
            <x14:sparkline>
              <xm:f>'Ratio Analysis'!C40:I40</xm:f>
              <xm:sqref>J40</xm:sqref>
            </x14:sparkline>
          </x14:sparklines>
        </x14:sparklineGroup>
        <x14:sparklineGroup displayEmptyCellsAs="gap" markers="1" xr2:uid="{3B208D35-62FF-46A1-B05E-9D10F82B6D8B}">
          <x14:colorSeries rgb="FF376092"/>
          <x14:colorNegative rgb="FFD00000"/>
          <x14:colorAxis rgb="FF000000"/>
          <x14:colorMarkers theme="7" tint="-0.499984740745262"/>
          <x14:colorFirst rgb="FFD00000"/>
          <x14:colorLast rgb="FFD00000"/>
          <x14:colorHigh rgb="FFD00000"/>
          <x14:colorLow rgb="FFD00000"/>
          <x14:sparklines>
            <x14:sparkline>
              <xm:f>'Ratio Analysis'!D5:I5</xm:f>
              <xm:sqref>J5</xm:sqref>
            </x14:sparkline>
            <x14:sparkline>
              <xm:f>'Ratio Analysis'!D6:I6</xm:f>
              <xm:sqref>J6</xm:sqref>
            </x14:sparkline>
            <x14:sparkline>
              <xm:f>'Ratio Analysis'!D7:I7</xm:f>
              <xm:sqref>J7</xm:sqref>
            </x14:sparkline>
            <x14:sparkline>
              <xm:f>'Ratio Analysis'!D8:I8</xm:f>
              <xm:sqref>J8</xm:sqref>
            </x14:sparkline>
            <x14:sparkline>
              <xm:f>'Ratio Analysis'!D9:I9</xm:f>
              <xm:sqref>J9</xm:sqref>
            </x14:sparkline>
            <x14:sparkline>
              <xm:f>'Ratio Analysis'!D10:I10</xm:f>
              <xm:sqref>J10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BAB2-2339-49E2-82B5-C78BBAE29522}">
  <sheetPr>
    <tabColor theme="7" tint="-0.499984740745262"/>
  </sheetPr>
  <dimension ref="B2:O19"/>
  <sheetViews>
    <sheetView showGridLines="0" workbookViewId="0">
      <selection activeCell="Q10" sqref="Q10"/>
    </sheetView>
  </sheetViews>
  <sheetFormatPr defaultRowHeight="14.4" x14ac:dyDescent="0.3"/>
  <cols>
    <col min="1" max="1" width="1.88671875" style="128" customWidth="1"/>
    <col min="2" max="2" width="11.109375" style="128" bestFit="1" customWidth="1"/>
    <col min="3" max="3" width="9.6640625" style="128" bestFit="1" customWidth="1"/>
    <col min="4" max="4" width="12.44140625" style="128" customWidth="1"/>
    <col min="5" max="5" width="11.88671875" style="128" bestFit="1" customWidth="1"/>
    <col min="6" max="6" width="1.88671875" style="128" customWidth="1"/>
    <col min="7" max="8" width="8.88671875" style="128"/>
    <col min="9" max="9" width="11.77734375" style="128" customWidth="1"/>
    <col min="10" max="10" width="13.88671875" style="128" bestFit="1" customWidth="1"/>
    <col min="11" max="11" width="1.88671875" style="128" customWidth="1"/>
    <col min="12" max="12" width="13.88671875" style="128" bestFit="1" customWidth="1"/>
    <col min="13" max="13" width="8.88671875" style="128"/>
    <col min="14" max="14" width="7.109375" style="128" bestFit="1" customWidth="1"/>
    <col min="15" max="15" width="13.88671875" style="128" bestFit="1" customWidth="1"/>
    <col min="16" max="16384" width="8.88671875" style="128"/>
  </cols>
  <sheetData>
    <row r="2" spans="2:15" x14ac:dyDescent="0.3">
      <c r="B2" s="432" t="str">
        <f>'Raw Data Sheet'!B1&amp; " - "&amp; ' Forecasted FS&gt;'!B9&amp; " Forecasting"</f>
        <v>INFOSYS LTD - Sales Forecasting</v>
      </c>
      <c r="C2" s="432"/>
      <c r="D2" s="432"/>
      <c r="E2" s="432"/>
      <c r="G2" s="432" t="str">
        <f>'Raw Data Sheet'!B1 &amp; "-"  &amp;  ' Forecasted FS&gt;'!B21&amp; " Forecasting"</f>
        <v>INFOSYS LTD-EBITDA Forecasting</v>
      </c>
      <c r="H2" s="432"/>
      <c r="I2" s="432"/>
      <c r="J2" s="432"/>
      <c r="L2" s="432" t="str">
        <f>'Raw Data Sheet'!B1&amp; "-" &amp;  ' Forecasted FS&gt;'!B41&amp; " Forecasting"</f>
        <v>INFOSYS LTD-EPS Forecasting</v>
      </c>
      <c r="M2" s="432"/>
      <c r="N2" s="432"/>
      <c r="O2" s="432"/>
    </row>
    <row r="3" spans="2:15" x14ac:dyDescent="0.3">
      <c r="B3" s="177" t="s">
        <v>407</v>
      </c>
      <c r="C3" s="176" t="s">
        <v>193</v>
      </c>
      <c r="D3" s="176" t="s">
        <v>403</v>
      </c>
      <c r="E3" s="176" t="s">
        <v>402</v>
      </c>
      <c r="G3" s="177" t="s">
        <v>407</v>
      </c>
      <c r="H3" s="176" t="s">
        <v>193</v>
      </c>
      <c r="I3" s="176" t="s">
        <v>394</v>
      </c>
      <c r="J3" s="176" t="s">
        <v>355</v>
      </c>
      <c r="L3" s="177" t="s">
        <v>407</v>
      </c>
      <c r="M3" s="176" t="s">
        <v>193</v>
      </c>
      <c r="N3" s="176" t="s">
        <v>383</v>
      </c>
      <c r="O3" s="176" t="s">
        <v>406</v>
      </c>
    </row>
    <row r="4" spans="2:15" x14ac:dyDescent="0.3">
      <c r="B4" s="170">
        <v>1</v>
      </c>
      <c r="C4" s="174">
        <f>' Forecasted FS&gt;'!C5</f>
        <v>43921</v>
      </c>
      <c r="D4" s="306">
        <f t="array" ref="D4:D10">TRANSPOSE('Raw Data Sheet'!E17:K17)</f>
        <v>90791</v>
      </c>
      <c r="E4" s="175"/>
      <c r="G4" s="170">
        <v>1</v>
      </c>
      <c r="H4" s="174">
        <f>' Forecasted FS&gt;'!C5</f>
        <v>43921</v>
      </c>
      <c r="I4" s="306">
        <f t="array" ref="I4:I10">TRANSPOSE(' Forecasted FS&gt;'!C21:J21)</f>
        <v>22267</v>
      </c>
      <c r="J4" s="175"/>
      <c r="L4" s="170">
        <v>1</v>
      </c>
      <c r="M4" s="174">
        <f>' Forecasted FS&gt;'!C5</f>
        <v>43921</v>
      </c>
      <c r="N4" s="306">
        <f t="array" ref="N4:N10">TRANSPOSE(' Forecasted FS&gt;'!C41:J41)</f>
        <v>32.486499178210849</v>
      </c>
      <c r="O4" s="175"/>
    </row>
    <row r="5" spans="2:15" x14ac:dyDescent="0.3">
      <c r="B5" s="170">
        <f t="shared" ref="B5:B15" si="0">B4+1</f>
        <v>2</v>
      </c>
      <c r="C5" s="174">
        <f t="shared" ref="C5:C15" si="1">C4+365</f>
        <v>44286</v>
      </c>
      <c r="D5" s="306">
        <v>100472</v>
      </c>
      <c r="E5" s="167">
        <f t="shared" ref="E5:E15" si="2">D5/D4-1</f>
        <v>0.10662951173574475</v>
      </c>
      <c r="G5" s="170">
        <f t="shared" ref="G5:G15" si="3">G4+1</f>
        <v>2</v>
      </c>
      <c r="H5" s="174">
        <f t="shared" ref="H5:H15" si="4">H4+365</f>
        <v>44286</v>
      </c>
      <c r="I5" s="306">
        <v>27889</v>
      </c>
      <c r="J5" s="167">
        <f t="shared" ref="J5:J15" si="5">I5/I4-1</f>
        <v>0.25248125028068436</v>
      </c>
      <c r="L5" s="170">
        <f t="shared" ref="L5:L15" si="6">L4+1</f>
        <v>2</v>
      </c>
      <c r="M5" s="174">
        <f t="shared" ref="M5:M15" si="7">M4+365</f>
        <v>44286</v>
      </c>
      <c r="N5" s="306">
        <v>40.420588166263762</v>
      </c>
      <c r="O5" s="167">
        <f t="shared" ref="O5:O15" si="8">N5/N4-1</f>
        <v>0.24422726944288353</v>
      </c>
    </row>
    <row r="6" spans="2:15" x14ac:dyDescent="0.3">
      <c r="B6" s="170">
        <f t="shared" si="0"/>
        <v>3</v>
      </c>
      <c r="C6" s="174">
        <f t="shared" si="1"/>
        <v>44651</v>
      </c>
      <c r="D6" s="306">
        <v>121641</v>
      </c>
      <c r="E6" s="167">
        <f t="shared" si="2"/>
        <v>0.21069551715900947</v>
      </c>
      <c r="G6" s="170">
        <f t="shared" si="3"/>
        <v>3</v>
      </c>
      <c r="H6" s="174">
        <f t="shared" si="4"/>
        <v>44651</v>
      </c>
      <c r="I6" s="306">
        <v>31491</v>
      </c>
      <c r="J6" s="167">
        <f t="shared" si="5"/>
        <v>0.12915486392484499</v>
      </c>
      <c r="L6" s="170">
        <f t="shared" si="6"/>
        <v>3</v>
      </c>
      <c r="M6" s="174">
        <f t="shared" si="7"/>
        <v>44651</v>
      </c>
      <c r="N6" s="306">
        <v>47.189008011030019</v>
      </c>
      <c r="O6" s="167">
        <f t="shared" si="8"/>
        <v>0.16744981089650213</v>
      </c>
    </row>
    <row r="7" spans="2:15" x14ac:dyDescent="0.3">
      <c r="B7" s="170">
        <f t="shared" si="0"/>
        <v>4</v>
      </c>
      <c r="C7" s="174">
        <f t="shared" si="1"/>
        <v>45016</v>
      </c>
      <c r="D7" s="306">
        <v>146767</v>
      </c>
      <c r="E7" s="167">
        <f t="shared" si="2"/>
        <v>0.20655864387829759</v>
      </c>
      <c r="G7" s="170">
        <f t="shared" si="3"/>
        <v>4</v>
      </c>
      <c r="H7" s="174">
        <f t="shared" si="4"/>
        <v>45016</v>
      </c>
      <c r="I7" s="306">
        <v>35130</v>
      </c>
      <c r="J7" s="167">
        <f t="shared" si="5"/>
        <v>0.1155568257597408</v>
      </c>
      <c r="L7" s="170">
        <f t="shared" si="6"/>
        <v>4</v>
      </c>
      <c r="M7" s="174">
        <f t="shared" si="7"/>
        <v>45016</v>
      </c>
      <c r="N7" s="306">
        <v>51.600539941184977</v>
      </c>
      <c r="O7" s="167">
        <f t="shared" si="8"/>
        <v>9.3486430762091954E-2</v>
      </c>
    </row>
    <row r="8" spans="2:15" x14ac:dyDescent="0.3">
      <c r="B8" s="170">
        <f t="shared" si="0"/>
        <v>5</v>
      </c>
      <c r="C8" s="174">
        <f t="shared" si="1"/>
        <v>45381</v>
      </c>
      <c r="D8" s="306">
        <v>153670</v>
      </c>
      <c r="E8" s="167">
        <f t="shared" si="2"/>
        <v>4.7033733741236095E-2</v>
      </c>
      <c r="G8" s="170">
        <f t="shared" si="3"/>
        <v>5</v>
      </c>
      <c r="H8" s="174">
        <f t="shared" si="4"/>
        <v>45381</v>
      </c>
      <c r="I8" s="306">
        <v>36425</v>
      </c>
      <c r="J8" s="167">
        <f t="shared" si="5"/>
        <v>3.6863079988613823E-2</v>
      </c>
      <c r="L8" s="170">
        <f t="shared" si="6"/>
        <v>5</v>
      </c>
      <c r="M8" s="174">
        <f t="shared" si="7"/>
        <v>45381</v>
      </c>
      <c r="N8" s="306">
        <v>51.885133344575877</v>
      </c>
      <c r="O8" s="167">
        <f t="shared" si="8"/>
        <v>5.5153183225462588E-3</v>
      </c>
    </row>
    <row r="9" spans="2:15" x14ac:dyDescent="0.3">
      <c r="B9" s="170">
        <f t="shared" si="0"/>
        <v>6</v>
      </c>
      <c r="C9" s="174">
        <f t="shared" si="1"/>
        <v>45746</v>
      </c>
      <c r="D9" s="306">
        <v>162990</v>
      </c>
      <c r="E9" s="167">
        <f t="shared" si="2"/>
        <v>6.0649443612936782E-2</v>
      </c>
      <c r="G9" s="170">
        <f t="shared" si="3"/>
        <v>6</v>
      </c>
      <c r="H9" s="174">
        <f t="shared" si="4"/>
        <v>45746</v>
      </c>
      <c r="I9" s="306">
        <v>39236</v>
      </c>
      <c r="J9" s="167">
        <f t="shared" si="5"/>
        <v>7.7172271791352109E-2</v>
      </c>
      <c r="L9" s="170">
        <f t="shared" si="6"/>
        <v>6</v>
      </c>
      <c r="M9" s="174">
        <f t="shared" si="7"/>
        <v>45746</v>
      </c>
      <c r="N9" s="306">
        <v>55.738810102809815</v>
      </c>
      <c r="O9" s="167">
        <f t="shared" si="8"/>
        <v>7.4273236085588668E-2</v>
      </c>
    </row>
    <row r="10" spans="2:15" x14ac:dyDescent="0.3">
      <c r="B10" s="170">
        <f t="shared" si="0"/>
        <v>7</v>
      </c>
      <c r="C10" s="174">
        <f t="shared" si="1"/>
        <v>46111</v>
      </c>
      <c r="D10" s="306">
        <v>178650</v>
      </c>
      <c r="E10" s="167">
        <f t="shared" si="2"/>
        <v>9.6079514080618544E-2</v>
      </c>
      <c r="G10" s="170">
        <f t="shared" si="3"/>
        <v>7</v>
      </c>
      <c r="H10" s="174">
        <f t="shared" si="4"/>
        <v>46111</v>
      </c>
      <c r="I10" s="306">
        <v>42280</v>
      </c>
      <c r="J10" s="167">
        <f t="shared" si="5"/>
        <v>7.758181262106234E-2</v>
      </c>
      <c r="L10" s="170">
        <f t="shared" si="6"/>
        <v>7</v>
      </c>
      <c r="M10" s="174">
        <f t="shared" si="7"/>
        <v>46111</v>
      </c>
      <c r="N10" s="306">
        <v>65.196271821678664</v>
      </c>
      <c r="O10" s="167">
        <f t="shared" si="8"/>
        <v>0.1696746253001209</v>
      </c>
    </row>
    <row r="11" spans="2:15" x14ac:dyDescent="0.3">
      <c r="B11" s="173">
        <f t="shared" si="0"/>
        <v>8</v>
      </c>
      <c r="C11" s="172">
        <f t="shared" si="1"/>
        <v>46476</v>
      </c>
      <c r="D11" s="307">
        <f>FORECAST(B11,$D$4:$D$10,$B$4:$B$10)</f>
        <v>196517.57142857142</v>
      </c>
      <c r="E11" s="171">
        <f t="shared" si="2"/>
        <v>0.10001439366678655</v>
      </c>
      <c r="G11" s="173">
        <f t="shared" si="3"/>
        <v>8</v>
      </c>
      <c r="H11" s="172">
        <f t="shared" si="4"/>
        <v>46476</v>
      </c>
      <c r="I11" s="307">
        <f>FORECAST(G11,$I$4:$I$10,$G$4:$G$10)</f>
        <v>46055</v>
      </c>
      <c r="J11" s="171">
        <f t="shared" si="5"/>
        <v>8.9285714285714191E-2</v>
      </c>
      <c r="L11" s="173">
        <f t="shared" si="6"/>
        <v>8</v>
      </c>
      <c r="M11" s="172">
        <f t="shared" si="7"/>
        <v>46476</v>
      </c>
      <c r="N11" s="307">
        <f>FORECAST(L11,$N$4:$N$10,$L$4:$L$10)</f>
        <v>68.282676814685047</v>
      </c>
      <c r="O11" s="171">
        <f>N11/N10-1</f>
        <v>4.7340206836491427E-2</v>
      </c>
    </row>
    <row r="12" spans="2:15" x14ac:dyDescent="0.3">
      <c r="B12" s="173">
        <f t="shared" si="0"/>
        <v>9</v>
      </c>
      <c r="C12" s="172">
        <f t="shared" si="1"/>
        <v>46841</v>
      </c>
      <c r="D12" s="307">
        <f>FORECAST(B12,$D$4:$D$10,$B$4:$B$10)</f>
        <v>211540.49999999997</v>
      </c>
      <c r="E12" s="171">
        <f t="shared" si="2"/>
        <v>7.6445726772524036E-2</v>
      </c>
      <c r="G12" s="173">
        <f t="shared" si="3"/>
        <v>9</v>
      </c>
      <c r="H12" s="172">
        <f t="shared" si="4"/>
        <v>46841</v>
      </c>
      <c r="I12" s="307">
        <f>FORECAST(G12,$I$4:$I$10,$G$4:$G$10)</f>
        <v>49185.964285714283</v>
      </c>
      <c r="J12" s="171">
        <f t="shared" si="5"/>
        <v>6.7983156784589882E-2</v>
      </c>
      <c r="L12" s="173">
        <f t="shared" si="6"/>
        <v>9</v>
      </c>
      <c r="M12" s="172">
        <f t="shared" si="7"/>
        <v>46841</v>
      </c>
      <c r="N12" s="307">
        <f>FORECAST(L12,$N$4:$N$10,$L$4:$L$10)</f>
        <v>73.049172783865089</v>
      </c>
      <c r="O12" s="171">
        <f t="shared" si="8"/>
        <v>6.9805347293516506E-2</v>
      </c>
    </row>
    <row r="13" spans="2:15" x14ac:dyDescent="0.3">
      <c r="B13" s="173">
        <f t="shared" si="0"/>
        <v>10</v>
      </c>
      <c r="C13" s="172">
        <f t="shared" si="1"/>
        <v>47206</v>
      </c>
      <c r="D13" s="307">
        <f>FORECAST(B13,$D$4:$D$10,$B$4:$B$10)</f>
        <v>226563.42857142855</v>
      </c>
      <c r="E13" s="171">
        <f t="shared" si="2"/>
        <v>7.1016796175808361E-2</v>
      </c>
      <c r="G13" s="173">
        <f t="shared" si="3"/>
        <v>10</v>
      </c>
      <c r="H13" s="172">
        <f t="shared" si="4"/>
        <v>47206</v>
      </c>
      <c r="I13" s="307">
        <f>FORECAST(G13,$I$4:$I$10,$G$4:$G$10)</f>
        <v>52316.928571428565</v>
      </c>
      <c r="J13" s="171">
        <f t="shared" si="5"/>
        <v>6.3655645084580437E-2</v>
      </c>
      <c r="L13" s="173">
        <f t="shared" si="6"/>
        <v>10</v>
      </c>
      <c r="M13" s="172">
        <f t="shared" si="7"/>
        <v>47206</v>
      </c>
      <c r="N13" s="307">
        <f>FORECAST(L13,$N$4:$N$10,$L$4:$L$10)</f>
        <v>77.815668753045145</v>
      </c>
      <c r="O13" s="171">
        <f t="shared" si="8"/>
        <v>6.5250512600368182E-2</v>
      </c>
    </row>
    <row r="14" spans="2:15" x14ac:dyDescent="0.3">
      <c r="B14" s="173">
        <f t="shared" si="0"/>
        <v>11</v>
      </c>
      <c r="C14" s="172">
        <f t="shared" si="1"/>
        <v>47571</v>
      </c>
      <c r="D14" s="307">
        <f>FORECAST(B14,$D$4:$D$10,$B$4:$B$10)</f>
        <v>241586.35714285713</v>
      </c>
      <c r="E14" s="171">
        <f t="shared" si="2"/>
        <v>6.6307826758069677E-2</v>
      </c>
      <c r="G14" s="173">
        <f t="shared" si="3"/>
        <v>11</v>
      </c>
      <c r="H14" s="172">
        <f t="shared" si="4"/>
        <v>47571</v>
      </c>
      <c r="I14" s="307">
        <f>FORECAST(G14,$I$4:$I$10,$G$4:$G$10)</f>
        <v>55447.892857142855</v>
      </c>
      <c r="J14" s="171">
        <f t="shared" si="5"/>
        <v>5.9846102804746337E-2</v>
      </c>
      <c r="L14" s="173">
        <f t="shared" si="6"/>
        <v>11</v>
      </c>
      <c r="M14" s="172">
        <f t="shared" si="7"/>
        <v>47571</v>
      </c>
      <c r="N14" s="307">
        <f>FORECAST(L14,$N$4:$N$10,$L$4:$L$10)</f>
        <v>82.582164722225187</v>
      </c>
      <c r="O14" s="171">
        <f t="shared" si="8"/>
        <v>6.1253678668584444E-2</v>
      </c>
    </row>
    <row r="15" spans="2:15" x14ac:dyDescent="0.3">
      <c r="B15" s="173">
        <f t="shared" si="0"/>
        <v>12</v>
      </c>
      <c r="C15" s="172">
        <f t="shared" si="1"/>
        <v>47936</v>
      </c>
      <c r="D15" s="307">
        <f>FORECAST(B15,$D$4:$D$10,$B$4:$B$10)</f>
        <v>256609.28571428568</v>
      </c>
      <c r="E15" s="171">
        <f t="shared" si="2"/>
        <v>6.2184507225898633E-2</v>
      </c>
      <c r="G15" s="173">
        <f t="shared" si="3"/>
        <v>12</v>
      </c>
      <c r="H15" s="172">
        <f t="shared" si="4"/>
        <v>47936</v>
      </c>
      <c r="I15" s="307">
        <f>FORECAST(G15,$I$4:$I$10,$G$4:$G$10)</f>
        <v>58578.857142857138</v>
      </c>
      <c r="J15" s="171">
        <f t="shared" si="5"/>
        <v>5.6466785740279857E-2</v>
      </c>
      <c r="L15" s="173">
        <f t="shared" si="6"/>
        <v>12</v>
      </c>
      <c r="M15" s="172">
        <f t="shared" si="7"/>
        <v>47936</v>
      </c>
      <c r="N15" s="307">
        <f>FORECAST(L15,$N$4:$N$10,$L$4:$L$10)</f>
        <v>87.348660691405243</v>
      </c>
      <c r="O15" s="171">
        <f t="shared" si="8"/>
        <v>5.7718225057586281E-2</v>
      </c>
    </row>
    <row r="16" spans="2:15" x14ac:dyDescent="0.3">
      <c r="B16" s="170"/>
      <c r="C16" s="169"/>
      <c r="D16" s="168"/>
      <c r="E16" s="167"/>
    </row>
    <row r="17" spans="2:5" x14ac:dyDescent="0.3">
      <c r="B17" s="170"/>
      <c r="C17" s="169"/>
      <c r="D17" s="168"/>
      <c r="E17" s="167"/>
    </row>
    <row r="18" spans="2:5" x14ac:dyDescent="0.3">
      <c r="B18" s="170"/>
      <c r="C18" s="169"/>
      <c r="D18" s="168"/>
      <c r="E18" s="167"/>
    </row>
    <row r="19" spans="2:5" x14ac:dyDescent="0.3">
      <c r="B19" s="170"/>
      <c r="C19" s="169"/>
      <c r="D19" s="168"/>
      <c r="E19" s="167"/>
    </row>
  </sheetData>
  <mergeCells count="3">
    <mergeCell ref="B2:E2"/>
    <mergeCell ref="G2:J2"/>
    <mergeCell ref="L2:O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8238-0B65-4DDF-9E27-E67A49281901}">
  <dimension ref="A1:U93"/>
  <sheetViews>
    <sheetView zoomScale="120" zoomScaleNormal="120" zoomScalePageLayoutView="120" workbookViewId="0">
      <pane xSplit="1" ySplit="1" topLeftCell="B11" activePane="bottomRight" state="frozen"/>
      <selection activeCell="O30" sqref="O30"/>
      <selection pane="topRight" activeCell="O30" sqref="O30"/>
      <selection pane="bottomLeft" activeCell="O30" sqref="O30"/>
      <selection pane="bottomRight" activeCell="C23" sqref="C23"/>
    </sheetView>
  </sheetViews>
  <sheetFormatPr defaultColWidth="8.77734375" defaultRowHeight="14.4" x14ac:dyDescent="0.3"/>
  <cols>
    <col min="1" max="1" width="27.6640625" style="157" bestFit="1" customWidth="1"/>
    <col min="2" max="11" width="13.44140625" style="157" bestFit="1" customWidth="1"/>
    <col min="12" max="16384" width="8.77734375" style="157"/>
  </cols>
  <sheetData>
    <row r="1" spans="1:21" s="161" customFormat="1" x14ac:dyDescent="0.3">
      <c r="A1" s="161" t="s">
        <v>439</v>
      </c>
      <c r="B1" s="161" t="s">
        <v>438</v>
      </c>
      <c r="E1" s="128"/>
      <c r="F1" s="128"/>
      <c r="G1" s="128"/>
      <c r="H1" s="128"/>
      <c r="I1" s="128"/>
      <c r="J1" s="128"/>
      <c r="K1" s="128"/>
    </row>
    <row r="2" spans="1:21" x14ac:dyDescent="0.3">
      <c r="A2" s="161" t="s">
        <v>437</v>
      </c>
      <c r="B2" s="157">
        <v>2.1</v>
      </c>
      <c r="E2" s="433" t="s">
        <v>436</v>
      </c>
      <c r="F2" s="433"/>
      <c r="G2" s="433"/>
      <c r="H2" s="433"/>
      <c r="I2" s="433"/>
      <c r="J2" s="433"/>
      <c r="K2" s="433"/>
    </row>
    <row r="3" spans="1:21" x14ac:dyDescent="0.3">
      <c r="A3" s="161" t="s">
        <v>435</v>
      </c>
      <c r="B3" s="157">
        <v>2.1</v>
      </c>
    </row>
    <row r="4" spans="1:21" x14ac:dyDescent="0.3">
      <c r="A4" s="161"/>
    </row>
    <row r="5" spans="1:21" x14ac:dyDescent="0.3">
      <c r="A5" s="161" t="s">
        <v>434</v>
      </c>
    </row>
    <row r="6" spans="1:21" x14ac:dyDescent="0.3">
      <c r="A6" s="157" t="s">
        <v>433</v>
      </c>
      <c r="B6" s="157">
        <f>IF(B9&gt;0, B9/B8, 0)</f>
        <v>404.06047651071185</v>
      </c>
    </row>
    <row r="7" spans="1:21" x14ac:dyDescent="0.3">
      <c r="A7" s="157" t="s">
        <v>432</v>
      </c>
      <c r="B7" s="128">
        <v>5</v>
      </c>
    </row>
    <row r="8" spans="1:21" x14ac:dyDescent="0.3">
      <c r="A8" s="157" t="s">
        <v>431</v>
      </c>
      <c r="B8" s="128">
        <v>1040.9000000000001</v>
      </c>
    </row>
    <row r="9" spans="1:21" x14ac:dyDescent="0.3">
      <c r="A9" s="157" t="s">
        <v>27</v>
      </c>
      <c r="B9" s="128">
        <v>420586.55</v>
      </c>
    </row>
    <row r="15" spans="1:21" x14ac:dyDescent="0.3">
      <c r="A15" s="161" t="s">
        <v>430</v>
      </c>
      <c r="M15" s="128"/>
      <c r="N15" s="128"/>
      <c r="O15" s="128"/>
      <c r="P15" s="128"/>
      <c r="Q15" s="128"/>
      <c r="R15" s="128"/>
      <c r="S15" s="128"/>
      <c r="T15" s="128"/>
      <c r="U15" s="128"/>
    </row>
    <row r="16" spans="1:21" s="179" customFormat="1" x14ac:dyDescent="0.3">
      <c r="A16" s="181" t="s">
        <v>414</v>
      </c>
      <c r="B16" s="180">
        <v>42825</v>
      </c>
      <c r="C16" s="180">
        <v>43190</v>
      </c>
      <c r="D16" s="180">
        <v>43555</v>
      </c>
      <c r="E16" s="180">
        <v>43921</v>
      </c>
      <c r="F16" s="180">
        <v>44286</v>
      </c>
      <c r="G16" s="180">
        <v>44651</v>
      </c>
      <c r="H16" s="180">
        <v>45016</v>
      </c>
      <c r="I16" s="180">
        <v>45382</v>
      </c>
      <c r="J16" s="180">
        <v>45747</v>
      </c>
      <c r="K16" s="180">
        <v>46112</v>
      </c>
      <c r="M16" s="128"/>
      <c r="N16" s="128"/>
      <c r="O16" s="128"/>
      <c r="P16" s="128"/>
      <c r="Q16" s="128"/>
      <c r="R16" s="128"/>
      <c r="S16" s="128"/>
      <c r="T16" s="128"/>
      <c r="U16" s="128"/>
    </row>
    <row r="17" spans="1:21" s="158" customFormat="1" x14ac:dyDescent="0.3">
      <c r="A17" s="158" t="s">
        <v>403</v>
      </c>
      <c r="B17" s="128">
        <v>68484</v>
      </c>
      <c r="C17" s="128">
        <v>70522</v>
      </c>
      <c r="D17" s="128">
        <v>82675</v>
      </c>
      <c r="E17" s="128">
        <v>90791</v>
      </c>
      <c r="F17" s="128">
        <v>100472</v>
      </c>
      <c r="G17" s="128">
        <v>121641</v>
      </c>
      <c r="H17" s="128">
        <v>146767</v>
      </c>
      <c r="I17" s="128">
        <v>153670</v>
      </c>
      <c r="J17" s="128">
        <v>162990</v>
      </c>
      <c r="K17" s="128">
        <v>178650</v>
      </c>
      <c r="M17" s="183"/>
      <c r="N17" s="183"/>
      <c r="O17" s="128"/>
      <c r="P17" s="128"/>
      <c r="Q17" s="128"/>
      <c r="R17" s="128"/>
      <c r="S17" s="128"/>
      <c r="T17" s="128"/>
      <c r="U17" s="128"/>
    </row>
    <row r="18" spans="1:21" s="158" customFormat="1" x14ac:dyDescent="0.3">
      <c r="A18" s="157" t="s">
        <v>429</v>
      </c>
      <c r="M18" s="128"/>
      <c r="N18" s="128"/>
      <c r="O18" s="128"/>
      <c r="P18" s="128"/>
      <c r="Q18" s="128"/>
      <c r="R18" s="128"/>
      <c r="S18" s="128"/>
      <c r="T18" s="128"/>
      <c r="U18" s="128"/>
    </row>
    <row r="19" spans="1:21" s="158" customFormat="1" x14ac:dyDescent="0.3">
      <c r="A19" s="157" t="s">
        <v>428</v>
      </c>
      <c r="M19" s="128"/>
      <c r="N19" s="128"/>
      <c r="O19" s="128"/>
      <c r="P19" s="128"/>
      <c r="Q19" s="128"/>
      <c r="R19" s="128"/>
      <c r="S19" s="128"/>
      <c r="T19" s="128"/>
      <c r="U19" s="128"/>
    </row>
    <row r="20" spans="1:21" s="158" customFormat="1" x14ac:dyDescent="0.3">
      <c r="A20" s="157" t="s">
        <v>427</v>
      </c>
      <c r="B20" s="128">
        <v>228</v>
      </c>
      <c r="C20" s="128">
        <v>207</v>
      </c>
      <c r="D20" s="128">
        <v>221</v>
      </c>
      <c r="E20" s="128">
        <v>229</v>
      </c>
      <c r="F20" s="128">
        <v>143</v>
      </c>
      <c r="G20" s="128">
        <v>132</v>
      </c>
      <c r="H20" s="128">
        <v>176</v>
      </c>
      <c r="I20" s="128">
        <v>199</v>
      </c>
      <c r="J20" s="128">
        <v>222</v>
      </c>
      <c r="K20" s="128">
        <v>223</v>
      </c>
      <c r="M20" s="128"/>
      <c r="N20" s="128"/>
      <c r="O20" s="128"/>
      <c r="P20" s="128"/>
      <c r="Q20" s="128"/>
      <c r="R20" s="128"/>
      <c r="S20" s="128"/>
      <c r="T20" s="128"/>
      <c r="U20" s="128"/>
    </row>
    <row r="21" spans="1:21" s="158" customFormat="1" x14ac:dyDescent="0.3">
      <c r="A21" s="157" t="s">
        <v>426</v>
      </c>
      <c r="B21" s="128">
        <v>6712</v>
      </c>
      <c r="C21" s="128">
        <v>7286</v>
      </c>
      <c r="D21" s="128">
        <v>9902</v>
      </c>
      <c r="E21" s="128">
        <v>11086</v>
      </c>
      <c r="F21" s="128">
        <v>12800</v>
      </c>
      <c r="G21" s="128">
        <v>20690</v>
      </c>
      <c r="H21" s="128">
        <v>26330</v>
      </c>
      <c r="I21" s="128">
        <v>27195</v>
      </c>
      <c r="J21" s="128">
        <v>30395</v>
      </c>
      <c r="K21" s="128">
        <v>32922</v>
      </c>
      <c r="M21" s="128"/>
      <c r="N21" s="128"/>
      <c r="O21" s="128"/>
      <c r="P21" s="128"/>
      <c r="Q21" s="128"/>
      <c r="R21" s="128"/>
      <c r="S21" s="128"/>
      <c r="T21" s="128"/>
      <c r="U21" s="128"/>
    </row>
    <row r="22" spans="1:21" s="158" customFormat="1" x14ac:dyDescent="0.3">
      <c r="A22" s="157" t="s">
        <v>425</v>
      </c>
      <c r="B22" s="128">
        <v>37669</v>
      </c>
      <c r="C22" s="128">
        <v>38902</v>
      </c>
      <c r="D22" s="128">
        <v>45323</v>
      </c>
      <c r="E22" s="128">
        <v>50895</v>
      </c>
      <c r="F22" s="128">
        <v>55547</v>
      </c>
      <c r="G22" s="128">
        <v>63997</v>
      </c>
      <c r="H22" s="128">
        <v>78374</v>
      </c>
      <c r="I22" s="128">
        <v>82636</v>
      </c>
      <c r="J22" s="128">
        <v>85968</v>
      </c>
      <c r="K22" s="128">
        <v>95112</v>
      </c>
      <c r="M22" s="128"/>
      <c r="N22" s="128"/>
      <c r="O22" s="128"/>
      <c r="P22" s="128"/>
      <c r="Q22" s="128"/>
      <c r="R22" s="128"/>
      <c r="S22" s="128"/>
      <c r="T22" s="128"/>
      <c r="U22" s="128"/>
    </row>
    <row r="23" spans="1:21" s="158" customFormat="1" x14ac:dyDescent="0.3">
      <c r="A23" s="157" t="s">
        <v>424</v>
      </c>
      <c r="B23" s="128">
        <v>4584</v>
      </c>
      <c r="C23" s="128">
        <v>4585</v>
      </c>
      <c r="D23" s="128">
        <v>5553</v>
      </c>
      <c r="E23" s="128">
        <v>5375</v>
      </c>
      <c r="F23" s="128">
        <v>3194</v>
      </c>
      <c r="G23" s="128">
        <v>4305</v>
      </c>
      <c r="H23" s="128">
        <v>5300</v>
      </c>
      <c r="I23" s="128">
        <v>5705</v>
      </c>
      <c r="J23" s="128">
        <v>6039</v>
      </c>
      <c r="K23" s="128">
        <v>6784</v>
      </c>
      <c r="M23" s="128"/>
      <c r="N23" s="128"/>
      <c r="O23" s="128"/>
      <c r="P23" s="128"/>
      <c r="Q23" s="128"/>
      <c r="R23" s="128"/>
      <c r="S23" s="128"/>
      <c r="T23" s="128"/>
      <c r="U23" s="128"/>
    </row>
    <row r="24" spans="1:21" s="158" customFormat="1" x14ac:dyDescent="0.3">
      <c r="A24" s="157" t="s">
        <v>423</v>
      </c>
      <c r="B24" s="128">
        <v>687</v>
      </c>
      <c r="C24" s="128">
        <v>720</v>
      </c>
      <c r="D24" s="128">
        <v>1506</v>
      </c>
      <c r="E24" s="128">
        <v>939</v>
      </c>
      <c r="F24" s="128">
        <v>899</v>
      </c>
      <c r="G24" s="128">
        <v>1026</v>
      </c>
      <c r="H24" s="128">
        <v>1457</v>
      </c>
      <c r="I24" s="128">
        <v>1510</v>
      </c>
      <c r="J24" s="128">
        <v>1130</v>
      </c>
      <c r="K24" s="128">
        <v>1329</v>
      </c>
      <c r="M24" s="128"/>
      <c r="N24" s="128"/>
      <c r="O24" s="128"/>
      <c r="P24" s="128"/>
      <c r="Q24" s="128"/>
      <c r="R24" s="128"/>
      <c r="S24" s="128"/>
      <c r="T24" s="128"/>
      <c r="U24" s="128"/>
    </row>
    <row r="25" spans="1:21" s="158" customFormat="1" x14ac:dyDescent="0.3">
      <c r="A25" s="158" t="s">
        <v>419</v>
      </c>
      <c r="B25" s="128">
        <v>3050</v>
      </c>
      <c r="C25" s="128">
        <v>3311</v>
      </c>
      <c r="D25" s="128">
        <v>2882</v>
      </c>
      <c r="E25" s="128">
        <v>2803</v>
      </c>
      <c r="F25" s="128">
        <v>2201</v>
      </c>
      <c r="G25" s="128">
        <v>2295</v>
      </c>
      <c r="H25" s="128">
        <v>2701</v>
      </c>
      <c r="I25" s="128">
        <v>4711</v>
      </c>
      <c r="J25" s="128">
        <v>3600</v>
      </c>
      <c r="K25" s="128">
        <v>3033</v>
      </c>
      <c r="M25" s="182"/>
      <c r="N25" s="182"/>
      <c r="O25" s="182"/>
      <c r="P25" s="182"/>
      <c r="Q25" s="182"/>
      <c r="R25" s="182"/>
      <c r="S25" s="128"/>
      <c r="T25" s="128"/>
      <c r="U25" s="128"/>
    </row>
    <row r="26" spans="1:21" s="158" customFormat="1" x14ac:dyDescent="0.3">
      <c r="A26" s="158" t="s">
        <v>247</v>
      </c>
      <c r="B26" s="128">
        <v>1703</v>
      </c>
      <c r="C26" s="128">
        <v>1863</v>
      </c>
      <c r="D26" s="128">
        <v>2011</v>
      </c>
      <c r="E26" s="128">
        <v>2893</v>
      </c>
      <c r="F26" s="128">
        <v>3267</v>
      </c>
      <c r="G26" s="128">
        <v>3476</v>
      </c>
      <c r="H26" s="128">
        <v>4225</v>
      </c>
      <c r="I26" s="128">
        <v>4678</v>
      </c>
      <c r="J26" s="128">
        <v>4812</v>
      </c>
      <c r="K26" s="128">
        <v>4902</v>
      </c>
      <c r="M26" s="128"/>
      <c r="N26" s="128"/>
      <c r="O26" s="128"/>
      <c r="P26" s="128"/>
      <c r="Q26" s="128"/>
      <c r="R26" s="128"/>
      <c r="S26" s="128"/>
      <c r="T26" s="128"/>
      <c r="U26" s="128"/>
    </row>
    <row r="27" spans="1:21" s="158" customFormat="1" x14ac:dyDescent="0.3">
      <c r="A27" s="158" t="s">
        <v>246</v>
      </c>
      <c r="E27" s="128">
        <v>170</v>
      </c>
      <c r="F27" s="128">
        <v>195</v>
      </c>
      <c r="G27" s="128">
        <v>200</v>
      </c>
      <c r="H27" s="128">
        <v>284</v>
      </c>
      <c r="I27" s="128">
        <v>470</v>
      </c>
      <c r="J27" s="128">
        <v>416</v>
      </c>
      <c r="K27" s="128">
        <v>416</v>
      </c>
      <c r="M27" s="128"/>
      <c r="N27" s="128"/>
      <c r="O27" s="128"/>
      <c r="P27" s="128"/>
      <c r="Q27" s="128"/>
      <c r="R27" s="128"/>
      <c r="S27" s="128"/>
      <c r="T27" s="128"/>
      <c r="U27" s="128"/>
    </row>
    <row r="28" spans="1:21" s="158" customFormat="1" x14ac:dyDescent="0.3">
      <c r="A28" s="158" t="s">
        <v>248</v>
      </c>
      <c r="B28" s="128">
        <v>19951</v>
      </c>
      <c r="C28" s="128">
        <v>20270</v>
      </c>
      <c r="D28" s="128">
        <v>21041</v>
      </c>
      <c r="E28" s="128">
        <v>22007</v>
      </c>
      <c r="F28" s="128">
        <v>26628</v>
      </c>
      <c r="G28" s="128">
        <v>30110</v>
      </c>
      <c r="H28" s="128">
        <v>33322</v>
      </c>
      <c r="I28" s="128">
        <v>35988</v>
      </c>
      <c r="J28" s="128">
        <v>37608</v>
      </c>
      <c r="K28" s="128">
        <v>39995</v>
      </c>
      <c r="M28" s="128"/>
      <c r="N28" s="128"/>
      <c r="O28" s="128"/>
      <c r="P28" s="128"/>
      <c r="Q28" s="128"/>
      <c r="R28" s="128"/>
      <c r="S28" s="128"/>
      <c r="T28" s="128"/>
      <c r="U28" s="128"/>
    </row>
    <row r="29" spans="1:21" s="158" customFormat="1" x14ac:dyDescent="0.3">
      <c r="A29" s="158" t="s">
        <v>388</v>
      </c>
      <c r="B29" s="128">
        <v>5598</v>
      </c>
      <c r="C29" s="128">
        <v>4241</v>
      </c>
      <c r="D29" s="128">
        <v>5631</v>
      </c>
      <c r="E29" s="128">
        <v>5368</v>
      </c>
      <c r="F29" s="128">
        <v>7205</v>
      </c>
      <c r="G29" s="128">
        <v>7964</v>
      </c>
      <c r="H29" s="128">
        <v>9214</v>
      </c>
      <c r="I29" s="128">
        <v>9740</v>
      </c>
      <c r="J29" s="128">
        <v>10858</v>
      </c>
      <c r="K29" s="128">
        <v>10521</v>
      </c>
      <c r="M29" s="128"/>
      <c r="N29" s="128"/>
      <c r="O29" s="128"/>
      <c r="P29" s="128"/>
      <c r="Q29" s="128"/>
      <c r="R29" s="128"/>
      <c r="S29" s="128"/>
      <c r="T29" s="128"/>
      <c r="U29" s="128"/>
    </row>
    <row r="30" spans="1:21" s="158" customFormat="1" x14ac:dyDescent="0.3">
      <c r="A30" s="158" t="s">
        <v>386</v>
      </c>
      <c r="B30" s="128">
        <v>14353</v>
      </c>
      <c r="C30" s="128">
        <v>16029</v>
      </c>
      <c r="D30" s="128">
        <v>15404</v>
      </c>
      <c r="E30" s="128">
        <v>16594</v>
      </c>
      <c r="F30" s="128">
        <v>19351</v>
      </c>
      <c r="G30" s="128">
        <v>22110</v>
      </c>
      <c r="H30" s="128">
        <v>24095</v>
      </c>
      <c r="I30" s="128">
        <v>26233</v>
      </c>
      <c r="J30" s="128">
        <v>26713</v>
      </c>
      <c r="K30" s="128">
        <v>29440</v>
      </c>
      <c r="M30" s="128"/>
      <c r="N30" s="128"/>
      <c r="O30" s="128"/>
      <c r="P30" s="128"/>
      <c r="Q30" s="128"/>
      <c r="R30" s="128"/>
      <c r="S30" s="128"/>
      <c r="T30" s="128"/>
      <c r="U30" s="128"/>
    </row>
    <row r="31" spans="1:21" s="158" customFormat="1" x14ac:dyDescent="0.3">
      <c r="A31" s="158" t="s">
        <v>422</v>
      </c>
      <c r="B31" s="128">
        <v>5891.6</v>
      </c>
      <c r="C31" s="128">
        <v>9465.6</v>
      </c>
      <c r="D31" s="128">
        <v>9222.5</v>
      </c>
      <c r="E31" s="128">
        <v>7427</v>
      </c>
      <c r="F31" s="128">
        <v>11469.6</v>
      </c>
      <c r="G31" s="128">
        <v>13007.6</v>
      </c>
      <c r="H31" s="128">
        <v>14069.2</v>
      </c>
      <c r="I31" s="128">
        <v>19053.2</v>
      </c>
      <c r="J31" s="128">
        <v>17827.8</v>
      </c>
      <c r="K31" s="128">
        <v>19430.400000000001</v>
      </c>
      <c r="M31" s="128"/>
      <c r="N31" s="128"/>
      <c r="O31" s="128"/>
      <c r="P31" s="128"/>
      <c r="Q31" s="128"/>
      <c r="R31" s="128"/>
      <c r="S31" s="128"/>
      <c r="T31" s="128"/>
      <c r="U31" s="128"/>
    </row>
    <row r="32" spans="1:21" s="158" customFormat="1" x14ac:dyDescent="0.3">
      <c r="M32" s="128"/>
      <c r="N32" s="128"/>
      <c r="O32" s="128"/>
      <c r="P32" s="128"/>
      <c r="Q32" s="128"/>
      <c r="R32" s="128"/>
      <c r="S32" s="128"/>
      <c r="T32" s="128"/>
      <c r="U32" s="128"/>
    </row>
    <row r="33" spans="1:21" x14ac:dyDescent="0.3">
      <c r="A33" s="158"/>
      <c r="M33" s="128"/>
      <c r="N33" s="128"/>
      <c r="O33" s="128"/>
      <c r="P33" s="128"/>
      <c r="Q33" s="128"/>
      <c r="R33" s="128"/>
      <c r="S33" s="128"/>
      <c r="T33" s="128"/>
      <c r="U33" s="128"/>
    </row>
    <row r="34" spans="1:21" x14ac:dyDescent="0.3">
      <c r="A34" s="158"/>
      <c r="M34" s="128"/>
      <c r="N34" s="128"/>
      <c r="O34" s="128"/>
      <c r="P34" s="128"/>
      <c r="Q34" s="128"/>
      <c r="R34" s="128"/>
      <c r="S34" s="128"/>
      <c r="T34" s="128"/>
      <c r="U34" s="128"/>
    </row>
    <row r="35" spans="1:21" x14ac:dyDescent="0.3">
      <c r="A35" s="158"/>
      <c r="M35" s="128"/>
      <c r="N35" s="128"/>
      <c r="O35" s="128"/>
      <c r="P35" s="128"/>
      <c r="Q35" s="128"/>
      <c r="R35" s="128"/>
      <c r="S35" s="128"/>
      <c r="T35" s="128"/>
      <c r="U35" s="128"/>
    </row>
    <row r="36" spans="1:21" x14ac:dyDescent="0.3">
      <c r="A36" s="158"/>
      <c r="M36" s="128"/>
      <c r="N36" s="128"/>
      <c r="O36" s="128"/>
      <c r="P36" s="128"/>
      <c r="Q36" s="128"/>
      <c r="R36" s="128"/>
      <c r="S36" s="128"/>
      <c r="T36" s="128"/>
      <c r="U36" s="128"/>
    </row>
    <row r="37" spans="1:21" x14ac:dyDescent="0.3">
      <c r="A37" s="158"/>
      <c r="M37" s="128"/>
      <c r="N37" s="128"/>
      <c r="O37" s="128"/>
      <c r="P37" s="128"/>
      <c r="Q37" s="128"/>
      <c r="R37" s="128"/>
      <c r="S37" s="128"/>
      <c r="T37" s="128"/>
      <c r="U37" s="128"/>
    </row>
    <row r="38" spans="1:21" x14ac:dyDescent="0.3">
      <c r="A38" s="158"/>
      <c r="M38" s="128"/>
      <c r="N38" s="128"/>
      <c r="O38" s="128"/>
      <c r="P38" s="128"/>
      <c r="Q38" s="128"/>
      <c r="R38" s="128"/>
      <c r="S38" s="128"/>
      <c r="T38" s="128"/>
      <c r="U38" s="128"/>
    </row>
    <row r="39" spans="1:21" x14ac:dyDescent="0.3">
      <c r="A39" s="158"/>
    </row>
    <row r="40" spans="1:21" x14ac:dyDescent="0.3">
      <c r="A40" s="161" t="s">
        <v>421</v>
      </c>
    </row>
    <row r="41" spans="1:21" s="179" customFormat="1" x14ac:dyDescent="0.3">
      <c r="A41" s="181" t="s">
        <v>414</v>
      </c>
      <c r="B41" s="180">
        <v>45382</v>
      </c>
      <c r="C41" s="180">
        <v>45473</v>
      </c>
      <c r="D41" s="180">
        <v>45565</v>
      </c>
      <c r="E41" s="180">
        <v>45657</v>
      </c>
      <c r="F41" s="180">
        <v>45747</v>
      </c>
      <c r="G41" s="180">
        <v>45838</v>
      </c>
      <c r="H41" s="180">
        <v>45930</v>
      </c>
      <c r="I41" s="180">
        <v>46022</v>
      </c>
      <c r="J41" s="180">
        <v>46112</v>
      </c>
      <c r="K41" s="180">
        <v>46203</v>
      </c>
    </row>
    <row r="42" spans="1:21" s="158" customFormat="1" x14ac:dyDescent="0.3">
      <c r="A42" s="158" t="s">
        <v>403</v>
      </c>
      <c r="B42" s="128">
        <v>37923</v>
      </c>
      <c r="C42" s="128">
        <v>39315</v>
      </c>
      <c r="D42" s="128">
        <v>40986</v>
      </c>
      <c r="E42" s="128">
        <v>41764</v>
      </c>
      <c r="F42" s="128">
        <v>40925</v>
      </c>
      <c r="G42" s="128">
        <v>42279</v>
      </c>
      <c r="H42" s="128">
        <v>44490</v>
      </c>
      <c r="I42" s="128">
        <v>45479</v>
      </c>
      <c r="J42" s="128">
        <v>46402</v>
      </c>
      <c r="K42" s="128">
        <v>48211</v>
      </c>
    </row>
    <row r="43" spans="1:21" s="158" customFormat="1" x14ac:dyDescent="0.3">
      <c r="A43" s="158" t="s">
        <v>420</v>
      </c>
      <c r="B43" s="128">
        <v>29139</v>
      </c>
      <c r="C43" s="128">
        <v>29878</v>
      </c>
      <c r="D43" s="128">
        <v>31177</v>
      </c>
      <c r="E43" s="128">
        <v>31649</v>
      </c>
      <c r="F43" s="128">
        <v>31051</v>
      </c>
      <c r="G43" s="128">
        <v>32336</v>
      </c>
      <c r="H43" s="128">
        <v>33955</v>
      </c>
      <c r="I43" s="128">
        <v>34845</v>
      </c>
      <c r="J43" s="128">
        <v>35235</v>
      </c>
      <c r="K43" s="128">
        <v>36802</v>
      </c>
    </row>
    <row r="44" spans="1:21" s="158" customFormat="1" x14ac:dyDescent="0.3">
      <c r="A44" s="158" t="s">
        <v>419</v>
      </c>
      <c r="B44" s="128">
        <v>2729</v>
      </c>
      <c r="C44" s="128">
        <v>838</v>
      </c>
      <c r="D44" s="128">
        <v>712</v>
      </c>
      <c r="E44" s="128">
        <v>859</v>
      </c>
      <c r="F44" s="128">
        <v>1190</v>
      </c>
      <c r="G44" s="128">
        <v>1042</v>
      </c>
      <c r="H44" s="128">
        <v>982</v>
      </c>
      <c r="I44" s="128">
        <v>-150</v>
      </c>
      <c r="J44" s="128">
        <v>1159</v>
      </c>
      <c r="K44" s="128">
        <v>984</v>
      </c>
    </row>
    <row r="45" spans="1:21" s="158" customFormat="1" x14ac:dyDescent="0.3">
      <c r="A45" s="158" t="s">
        <v>247</v>
      </c>
      <c r="B45" s="128">
        <v>1163</v>
      </c>
      <c r="C45" s="128">
        <v>1149</v>
      </c>
      <c r="D45" s="128">
        <v>1160</v>
      </c>
      <c r="E45" s="128">
        <v>1203</v>
      </c>
      <c r="F45" s="128">
        <v>1299</v>
      </c>
      <c r="G45" s="128">
        <v>1140</v>
      </c>
      <c r="H45" s="128">
        <v>1182</v>
      </c>
      <c r="I45" s="128">
        <v>1155</v>
      </c>
      <c r="J45" s="128">
        <v>1424</v>
      </c>
      <c r="K45" s="128">
        <v>1246</v>
      </c>
    </row>
    <row r="46" spans="1:21" s="158" customFormat="1" x14ac:dyDescent="0.3">
      <c r="A46" s="158" t="s">
        <v>246</v>
      </c>
      <c r="B46" s="128">
        <v>110</v>
      </c>
      <c r="C46" s="128">
        <v>105</v>
      </c>
      <c r="D46" s="128">
        <v>108</v>
      </c>
      <c r="E46" s="128">
        <v>101</v>
      </c>
      <c r="F46" s="128">
        <v>102</v>
      </c>
      <c r="G46" s="128">
        <v>105</v>
      </c>
      <c r="H46" s="128">
        <v>106</v>
      </c>
      <c r="I46" s="128">
        <v>100</v>
      </c>
      <c r="J46" s="128">
        <v>105</v>
      </c>
      <c r="K46" s="128">
        <v>119</v>
      </c>
    </row>
    <row r="47" spans="1:21" s="158" customFormat="1" x14ac:dyDescent="0.3">
      <c r="A47" s="158" t="s">
        <v>248</v>
      </c>
      <c r="B47" s="128">
        <v>10240</v>
      </c>
      <c r="C47" s="128">
        <v>9021</v>
      </c>
      <c r="D47" s="128">
        <v>9253</v>
      </c>
      <c r="E47" s="128">
        <v>9670</v>
      </c>
      <c r="F47" s="128">
        <v>9663</v>
      </c>
      <c r="G47" s="128">
        <v>9740</v>
      </c>
      <c r="H47" s="128">
        <v>10229</v>
      </c>
      <c r="I47" s="128">
        <v>9229</v>
      </c>
      <c r="J47" s="128">
        <v>10797</v>
      </c>
      <c r="K47" s="128">
        <v>11028</v>
      </c>
    </row>
    <row r="48" spans="1:21" s="158" customFormat="1" x14ac:dyDescent="0.3">
      <c r="A48" s="158" t="s">
        <v>388</v>
      </c>
      <c r="B48" s="128">
        <v>2265</v>
      </c>
      <c r="C48" s="128">
        <v>2647</v>
      </c>
      <c r="D48" s="128">
        <v>2737</v>
      </c>
      <c r="E48" s="128">
        <v>2848</v>
      </c>
      <c r="F48" s="128">
        <v>2625</v>
      </c>
      <c r="G48" s="128">
        <v>2816</v>
      </c>
      <c r="H48" s="128">
        <v>2854</v>
      </c>
      <c r="I48" s="128">
        <v>2563</v>
      </c>
      <c r="J48" s="128">
        <v>2288</v>
      </c>
      <c r="K48" s="128">
        <v>3253</v>
      </c>
    </row>
    <row r="49" spans="1:11" s="158" customFormat="1" x14ac:dyDescent="0.3">
      <c r="A49" s="158" t="s">
        <v>386</v>
      </c>
      <c r="B49" s="128">
        <v>7969</v>
      </c>
      <c r="C49" s="128">
        <v>6368</v>
      </c>
      <c r="D49" s="128">
        <v>6506</v>
      </c>
      <c r="E49" s="128">
        <v>6806</v>
      </c>
      <c r="F49" s="128">
        <v>7033</v>
      </c>
      <c r="G49" s="128">
        <v>6921</v>
      </c>
      <c r="H49" s="128">
        <v>7364</v>
      </c>
      <c r="I49" s="128">
        <v>6654</v>
      </c>
      <c r="J49" s="128">
        <v>8501</v>
      </c>
      <c r="K49" s="128">
        <v>7769</v>
      </c>
    </row>
    <row r="50" spans="1:11" x14ac:dyDescent="0.3">
      <c r="A50" s="158" t="s">
        <v>244</v>
      </c>
      <c r="B50" s="128">
        <v>8784</v>
      </c>
      <c r="C50" s="128">
        <v>9437</v>
      </c>
      <c r="D50" s="128">
        <v>9809</v>
      </c>
      <c r="E50" s="128">
        <v>10115</v>
      </c>
      <c r="F50" s="128">
        <v>9874</v>
      </c>
      <c r="G50" s="128">
        <v>9943</v>
      </c>
      <c r="H50" s="128">
        <v>10535</v>
      </c>
      <c r="I50" s="128">
        <v>10634</v>
      </c>
      <c r="J50" s="128">
        <v>11167</v>
      </c>
      <c r="K50" s="128">
        <v>11409</v>
      </c>
    </row>
    <row r="51" spans="1:11" x14ac:dyDescent="0.3">
      <c r="A51" s="158"/>
    </row>
    <row r="52" spans="1:11" x14ac:dyDescent="0.3">
      <c r="A52" s="158"/>
    </row>
    <row r="53" spans="1:11" x14ac:dyDescent="0.3">
      <c r="A53" s="158"/>
    </row>
    <row r="54" spans="1:11" x14ac:dyDescent="0.3">
      <c r="A54" s="158"/>
    </row>
    <row r="55" spans="1:11" x14ac:dyDescent="0.3">
      <c r="A55" s="161" t="s">
        <v>418</v>
      </c>
    </row>
    <row r="56" spans="1:11" s="179" customFormat="1" x14ac:dyDescent="0.3">
      <c r="A56" s="181" t="s">
        <v>414</v>
      </c>
      <c r="B56" s="180">
        <v>42825</v>
      </c>
      <c r="C56" s="180">
        <v>43190</v>
      </c>
      <c r="D56" s="180">
        <v>43555</v>
      </c>
      <c r="E56" s="180">
        <v>43921</v>
      </c>
      <c r="F56" s="180">
        <v>44286</v>
      </c>
      <c r="G56" s="180">
        <v>44651</v>
      </c>
      <c r="H56" s="180">
        <v>45016</v>
      </c>
      <c r="I56" s="180">
        <v>45382</v>
      </c>
      <c r="J56" s="180">
        <v>45747</v>
      </c>
      <c r="K56" s="180">
        <v>46112</v>
      </c>
    </row>
    <row r="57" spans="1:11" x14ac:dyDescent="0.3">
      <c r="A57" s="158" t="s">
        <v>377</v>
      </c>
      <c r="B57" s="128">
        <v>1144</v>
      </c>
      <c r="C57" s="128">
        <v>1088</v>
      </c>
      <c r="D57" s="128">
        <v>2170</v>
      </c>
      <c r="E57" s="128">
        <v>2122</v>
      </c>
      <c r="F57" s="128">
        <v>2124</v>
      </c>
      <c r="G57" s="128">
        <v>2098</v>
      </c>
      <c r="H57" s="128">
        <v>2069</v>
      </c>
      <c r="I57" s="128">
        <v>2071</v>
      </c>
      <c r="J57" s="128">
        <v>2073</v>
      </c>
      <c r="K57" s="128">
        <v>2024</v>
      </c>
    </row>
    <row r="58" spans="1:11" x14ac:dyDescent="0.3">
      <c r="A58" s="158" t="s">
        <v>199</v>
      </c>
      <c r="B58" s="128">
        <v>67838</v>
      </c>
      <c r="C58" s="128">
        <v>63835</v>
      </c>
      <c r="D58" s="128">
        <v>62778</v>
      </c>
      <c r="E58" s="128">
        <v>63328</v>
      </c>
      <c r="F58" s="128">
        <v>74227</v>
      </c>
      <c r="G58" s="128">
        <v>73252</v>
      </c>
      <c r="H58" s="128">
        <v>73338</v>
      </c>
      <c r="I58" s="128">
        <v>86045</v>
      </c>
      <c r="J58" s="128">
        <v>93745</v>
      </c>
      <c r="K58" s="128">
        <v>90828</v>
      </c>
    </row>
    <row r="59" spans="1:11" x14ac:dyDescent="0.3">
      <c r="A59" s="158" t="s">
        <v>376</v>
      </c>
      <c r="E59" s="128">
        <v>4633</v>
      </c>
      <c r="F59" s="128">
        <v>5325</v>
      </c>
      <c r="G59" s="128">
        <v>5474</v>
      </c>
      <c r="H59" s="128">
        <v>8299</v>
      </c>
      <c r="I59" s="128">
        <v>8359</v>
      </c>
      <c r="J59" s="128">
        <v>8227</v>
      </c>
      <c r="K59" s="128">
        <v>9176</v>
      </c>
    </row>
    <row r="60" spans="1:11" x14ac:dyDescent="0.3">
      <c r="A60" s="158" t="s">
        <v>375</v>
      </c>
      <c r="B60" s="128">
        <v>14166</v>
      </c>
      <c r="C60" s="128">
        <v>14426</v>
      </c>
      <c r="D60" s="128">
        <v>19118</v>
      </c>
      <c r="E60" s="128">
        <v>21717</v>
      </c>
      <c r="F60" s="128">
        <v>25835</v>
      </c>
      <c r="G60" s="128">
        <v>35905</v>
      </c>
      <c r="H60" s="128">
        <v>40890</v>
      </c>
      <c r="I60" s="128">
        <v>39545</v>
      </c>
      <c r="J60" s="128">
        <v>43750</v>
      </c>
      <c r="K60" s="128">
        <v>52260</v>
      </c>
    </row>
    <row r="61" spans="1:11" s="161" customFormat="1" x14ac:dyDescent="0.3">
      <c r="A61" s="161" t="s">
        <v>67</v>
      </c>
      <c r="B61" s="128">
        <v>83148</v>
      </c>
      <c r="C61" s="128">
        <v>79349</v>
      </c>
      <c r="D61" s="128">
        <v>84066</v>
      </c>
      <c r="E61" s="128">
        <v>91800</v>
      </c>
      <c r="F61" s="128">
        <v>107511</v>
      </c>
      <c r="G61" s="128">
        <v>116729</v>
      </c>
      <c r="H61" s="128">
        <v>124596</v>
      </c>
      <c r="I61" s="128">
        <v>136020</v>
      </c>
      <c r="J61" s="128">
        <v>147795</v>
      </c>
      <c r="K61" s="128">
        <v>154288</v>
      </c>
    </row>
    <row r="62" spans="1:11" x14ac:dyDescent="0.3">
      <c r="A62" s="158" t="s">
        <v>229</v>
      </c>
      <c r="B62" s="128">
        <v>14179</v>
      </c>
      <c r="C62" s="128">
        <v>12574</v>
      </c>
      <c r="D62" s="128">
        <v>15710</v>
      </c>
      <c r="E62" s="128">
        <v>23789</v>
      </c>
      <c r="F62" s="128">
        <v>25505</v>
      </c>
      <c r="G62" s="128">
        <v>25800</v>
      </c>
      <c r="H62" s="128">
        <v>29225</v>
      </c>
      <c r="I62" s="128">
        <v>27622</v>
      </c>
      <c r="J62" s="128">
        <v>30961</v>
      </c>
      <c r="K62" s="128">
        <v>33770</v>
      </c>
    </row>
    <row r="63" spans="1:11" x14ac:dyDescent="0.3">
      <c r="A63" s="158" t="s">
        <v>373</v>
      </c>
      <c r="B63" s="128">
        <v>1365</v>
      </c>
      <c r="C63" s="128">
        <v>1606</v>
      </c>
      <c r="D63" s="128">
        <v>1388</v>
      </c>
      <c r="E63" s="128">
        <v>954</v>
      </c>
      <c r="F63" s="128">
        <v>922</v>
      </c>
      <c r="G63" s="128">
        <v>416</v>
      </c>
      <c r="H63" s="128">
        <v>288</v>
      </c>
      <c r="I63" s="128">
        <v>293</v>
      </c>
      <c r="J63" s="128">
        <v>814</v>
      </c>
      <c r="K63" s="128">
        <v>526</v>
      </c>
    </row>
    <row r="64" spans="1:11" x14ac:dyDescent="0.3">
      <c r="A64" s="158" t="s">
        <v>221</v>
      </c>
      <c r="B64" s="128">
        <v>16423</v>
      </c>
      <c r="C64" s="128">
        <v>12163</v>
      </c>
      <c r="D64" s="128">
        <v>11261</v>
      </c>
      <c r="E64" s="128">
        <v>8792</v>
      </c>
      <c r="F64" s="128">
        <v>14205</v>
      </c>
      <c r="G64" s="128">
        <v>20324</v>
      </c>
      <c r="H64" s="128">
        <v>19478</v>
      </c>
      <c r="I64" s="128">
        <v>24623</v>
      </c>
      <c r="J64" s="128">
        <v>23541</v>
      </c>
      <c r="K64" s="128">
        <v>21880</v>
      </c>
    </row>
    <row r="65" spans="1:11" x14ac:dyDescent="0.3">
      <c r="A65" s="158" t="s">
        <v>234</v>
      </c>
      <c r="B65" s="128">
        <v>51181</v>
      </c>
      <c r="C65" s="128">
        <v>53006</v>
      </c>
      <c r="D65" s="128">
        <v>55707</v>
      </c>
      <c r="E65" s="128">
        <v>58265</v>
      </c>
      <c r="F65" s="128">
        <v>66879</v>
      </c>
      <c r="G65" s="128">
        <v>70189</v>
      </c>
      <c r="H65" s="128">
        <v>75605</v>
      </c>
      <c r="I65" s="128">
        <v>83482</v>
      </c>
      <c r="J65" s="128">
        <v>92479</v>
      </c>
      <c r="K65" s="128">
        <v>98112</v>
      </c>
    </row>
    <row r="66" spans="1:11" s="161" customFormat="1" x14ac:dyDescent="0.3">
      <c r="A66" s="161" t="s">
        <v>67</v>
      </c>
      <c r="B66" s="128">
        <v>83148</v>
      </c>
      <c r="C66" s="128">
        <v>79349</v>
      </c>
      <c r="D66" s="128">
        <v>84066</v>
      </c>
      <c r="E66" s="128">
        <v>91800</v>
      </c>
      <c r="F66" s="128">
        <v>107511</v>
      </c>
      <c r="G66" s="128">
        <v>116729</v>
      </c>
      <c r="H66" s="128">
        <v>124596</v>
      </c>
      <c r="I66" s="128">
        <v>136020</v>
      </c>
      <c r="J66" s="128">
        <v>147795</v>
      </c>
      <c r="K66" s="128">
        <v>154288</v>
      </c>
    </row>
    <row r="67" spans="1:11" s="158" customFormat="1" x14ac:dyDescent="0.3">
      <c r="A67" s="158" t="s">
        <v>257</v>
      </c>
      <c r="B67" s="128">
        <v>12322</v>
      </c>
      <c r="C67" s="128">
        <v>13142</v>
      </c>
      <c r="D67" s="128">
        <v>14827</v>
      </c>
      <c r="E67" s="128">
        <v>18487</v>
      </c>
      <c r="F67" s="128">
        <v>19294</v>
      </c>
      <c r="G67" s="128">
        <v>22698</v>
      </c>
      <c r="H67" s="128">
        <v>25424</v>
      </c>
      <c r="I67" s="128">
        <v>30193</v>
      </c>
      <c r="J67" s="128">
        <v>31158</v>
      </c>
      <c r="K67" s="128">
        <v>35234</v>
      </c>
    </row>
    <row r="68" spans="1:11" x14ac:dyDescent="0.3">
      <c r="A68" s="158" t="s">
        <v>371</v>
      </c>
    </row>
    <row r="69" spans="1:11" x14ac:dyDescent="0.3">
      <c r="A69" s="157" t="s">
        <v>370</v>
      </c>
      <c r="B69" s="128">
        <v>22625</v>
      </c>
      <c r="C69" s="128">
        <v>19818</v>
      </c>
      <c r="D69" s="128">
        <v>19568</v>
      </c>
      <c r="E69" s="128">
        <v>18649</v>
      </c>
      <c r="F69" s="128">
        <v>24714</v>
      </c>
      <c r="G69" s="128">
        <v>17472</v>
      </c>
      <c r="H69" s="128">
        <v>12173</v>
      </c>
      <c r="I69" s="128">
        <v>14786</v>
      </c>
      <c r="J69" s="128">
        <v>24455</v>
      </c>
      <c r="K69" s="128">
        <v>22201</v>
      </c>
    </row>
    <row r="70" spans="1:11" x14ac:dyDescent="0.3">
      <c r="A70" s="157" t="s">
        <v>384</v>
      </c>
      <c r="B70" s="128">
        <v>2285655150</v>
      </c>
      <c r="C70" s="128">
        <v>2173312301</v>
      </c>
      <c r="D70" s="128">
        <v>4335954462</v>
      </c>
      <c r="E70" s="128">
        <v>4240753210</v>
      </c>
      <c r="F70" s="128">
        <v>4245146114</v>
      </c>
      <c r="G70" s="128">
        <v>4193012929</v>
      </c>
      <c r="H70" s="128">
        <v>4136387925</v>
      </c>
      <c r="I70" s="128">
        <v>4139950635</v>
      </c>
      <c r="J70" s="128">
        <v>4143607528</v>
      </c>
      <c r="K70" s="128">
        <v>4046940812</v>
      </c>
    </row>
    <row r="71" spans="1:11" x14ac:dyDescent="0.3">
      <c r="A71" s="157" t="s">
        <v>417</v>
      </c>
      <c r="D71" s="128">
        <v>2184191490</v>
      </c>
    </row>
    <row r="72" spans="1:11" x14ac:dyDescent="0.3">
      <c r="A72" s="157" t="s">
        <v>416</v>
      </c>
      <c r="B72" s="128">
        <v>5</v>
      </c>
      <c r="C72" s="128">
        <v>5</v>
      </c>
      <c r="D72" s="128">
        <v>5</v>
      </c>
      <c r="E72" s="128">
        <v>5</v>
      </c>
      <c r="F72" s="128">
        <v>5</v>
      </c>
      <c r="G72" s="128">
        <v>5</v>
      </c>
      <c r="H72" s="128">
        <v>5</v>
      </c>
      <c r="I72" s="128">
        <v>5</v>
      </c>
      <c r="J72" s="128">
        <v>5</v>
      </c>
      <c r="K72" s="128">
        <v>5</v>
      </c>
    </row>
    <row r="74" spans="1:11" x14ac:dyDescent="0.3">
      <c r="A74" s="158"/>
    </row>
    <row r="75" spans="1:11" x14ac:dyDescent="0.3">
      <c r="A75" s="158"/>
    </row>
    <row r="76" spans="1:11" x14ac:dyDescent="0.3">
      <c r="A76" s="158"/>
    </row>
    <row r="77" spans="1:11" x14ac:dyDescent="0.3">
      <c r="A77" s="158"/>
    </row>
    <row r="78" spans="1:11" x14ac:dyDescent="0.3">
      <c r="A78" s="158"/>
    </row>
    <row r="79" spans="1:11" x14ac:dyDescent="0.3">
      <c r="A79" s="158"/>
    </row>
    <row r="80" spans="1:11" x14ac:dyDescent="0.3">
      <c r="A80" s="161" t="s">
        <v>415</v>
      </c>
    </row>
    <row r="81" spans="1:11" s="179" customFormat="1" x14ac:dyDescent="0.3">
      <c r="A81" s="181" t="s">
        <v>414</v>
      </c>
      <c r="B81" s="180">
        <v>42825</v>
      </c>
      <c r="C81" s="180">
        <v>43190</v>
      </c>
      <c r="D81" s="180">
        <v>43555</v>
      </c>
      <c r="E81" s="180">
        <v>43921</v>
      </c>
      <c r="F81" s="180">
        <v>44286</v>
      </c>
      <c r="G81" s="180">
        <v>44651</v>
      </c>
      <c r="H81" s="180">
        <v>45016</v>
      </c>
      <c r="I81" s="180">
        <v>45382</v>
      </c>
      <c r="J81" s="180">
        <v>45747</v>
      </c>
      <c r="K81" s="180">
        <v>46112</v>
      </c>
    </row>
    <row r="82" spans="1:11" s="161" customFormat="1" x14ac:dyDescent="0.3">
      <c r="A82" s="158" t="s">
        <v>413</v>
      </c>
      <c r="B82" s="128">
        <v>11531</v>
      </c>
      <c r="C82" s="128">
        <v>13218</v>
      </c>
      <c r="D82" s="128">
        <v>14841</v>
      </c>
      <c r="E82" s="128">
        <v>17003</v>
      </c>
      <c r="F82" s="128">
        <v>23224</v>
      </c>
      <c r="G82" s="128">
        <v>23885</v>
      </c>
      <c r="H82" s="128">
        <v>22467</v>
      </c>
      <c r="I82" s="128">
        <v>25210</v>
      </c>
      <c r="J82" s="128">
        <v>35694</v>
      </c>
      <c r="K82" s="128">
        <v>33986</v>
      </c>
    </row>
    <row r="83" spans="1:11" s="158" customFormat="1" x14ac:dyDescent="0.3">
      <c r="A83" s="158" t="s">
        <v>412</v>
      </c>
      <c r="B83" s="128">
        <v>-14664</v>
      </c>
      <c r="C83" s="128">
        <v>4533</v>
      </c>
      <c r="D83" s="128">
        <v>-632</v>
      </c>
      <c r="E83" s="128">
        <v>-331</v>
      </c>
      <c r="F83" s="128">
        <v>-7373</v>
      </c>
      <c r="G83" s="128">
        <v>-6485</v>
      </c>
      <c r="H83" s="128">
        <v>-1071</v>
      </c>
      <c r="I83" s="128">
        <v>-5093</v>
      </c>
      <c r="J83" s="128">
        <v>-1864</v>
      </c>
      <c r="K83" s="128">
        <v>3546</v>
      </c>
    </row>
    <row r="84" spans="1:11" s="158" customFormat="1" x14ac:dyDescent="0.3">
      <c r="A84" s="158" t="s">
        <v>411</v>
      </c>
      <c r="B84" s="128">
        <v>-6939</v>
      </c>
      <c r="C84" s="128">
        <v>-20505</v>
      </c>
      <c r="D84" s="128">
        <v>-14512</v>
      </c>
      <c r="E84" s="128">
        <v>-17591</v>
      </c>
      <c r="F84" s="128">
        <v>-9786</v>
      </c>
      <c r="G84" s="128">
        <v>-24642</v>
      </c>
      <c r="H84" s="128">
        <v>-26695</v>
      </c>
      <c r="I84" s="128">
        <v>-17504</v>
      </c>
      <c r="J84" s="128">
        <v>-24161</v>
      </c>
      <c r="K84" s="128">
        <v>-39786</v>
      </c>
    </row>
    <row r="85" spans="1:11" s="161" customFormat="1" x14ac:dyDescent="0.3">
      <c r="A85" s="158" t="s">
        <v>278</v>
      </c>
      <c r="B85" s="128">
        <v>-10072</v>
      </c>
      <c r="C85" s="128">
        <v>-2754</v>
      </c>
      <c r="D85" s="128">
        <v>-303</v>
      </c>
      <c r="E85" s="128">
        <v>-919</v>
      </c>
      <c r="F85" s="128">
        <v>6065</v>
      </c>
      <c r="G85" s="128">
        <v>-7242</v>
      </c>
      <c r="H85" s="128">
        <v>-5299</v>
      </c>
      <c r="I85" s="128">
        <v>2613</v>
      </c>
      <c r="J85" s="128">
        <v>9669</v>
      </c>
      <c r="K85" s="128">
        <v>-2254</v>
      </c>
    </row>
    <row r="86" spans="1:11" x14ac:dyDescent="0.3">
      <c r="A86" s="158"/>
    </row>
    <row r="87" spans="1:11" x14ac:dyDescent="0.3">
      <c r="A87" s="158"/>
    </row>
    <row r="88" spans="1:11" x14ac:dyDescent="0.3">
      <c r="A88" s="158"/>
    </row>
    <row r="89" spans="1:11" x14ac:dyDescent="0.3">
      <c r="A89" s="158"/>
    </row>
    <row r="90" spans="1:11" s="161" customFormat="1" x14ac:dyDescent="0.3">
      <c r="A90" s="161" t="s">
        <v>410</v>
      </c>
      <c r="B90" s="128">
        <v>511.13</v>
      </c>
      <c r="C90" s="128">
        <v>565.9</v>
      </c>
      <c r="D90" s="128">
        <v>743.85</v>
      </c>
      <c r="E90" s="128">
        <v>641.5</v>
      </c>
      <c r="F90" s="128">
        <v>1368.05</v>
      </c>
      <c r="G90" s="128">
        <v>1906.85</v>
      </c>
      <c r="H90" s="128">
        <v>1427.95</v>
      </c>
      <c r="I90" s="128">
        <v>1498.05</v>
      </c>
      <c r="J90" s="128">
        <v>1570.65</v>
      </c>
      <c r="K90" s="128">
        <v>1250.5999999999999</v>
      </c>
    </row>
    <row r="92" spans="1:11" s="161" customFormat="1" x14ac:dyDescent="0.3">
      <c r="A92" s="161" t="s">
        <v>409</v>
      </c>
    </row>
    <row r="93" spans="1:11" x14ac:dyDescent="0.3">
      <c r="A93" s="157" t="s">
        <v>408</v>
      </c>
      <c r="B93" s="178">
        <v>459.39</v>
      </c>
      <c r="C93" s="178">
        <v>436.82</v>
      </c>
      <c r="D93" s="178">
        <v>436.89</v>
      </c>
      <c r="E93" s="178">
        <v>425.9</v>
      </c>
      <c r="F93" s="178">
        <v>426.07</v>
      </c>
      <c r="G93" s="178">
        <v>420.67</v>
      </c>
      <c r="H93" s="178">
        <v>414.86</v>
      </c>
      <c r="I93" s="178">
        <v>415.09</v>
      </c>
      <c r="J93" s="178">
        <v>415.33</v>
      </c>
      <c r="K93" s="178">
        <v>405.56</v>
      </c>
    </row>
  </sheetData>
  <mergeCells count="1">
    <mergeCell ref="E2:K2"/>
  </mergeCells>
  <conditionalFormatting sqref="E1:K1">
    <cfRule type="cellIs" dxfId="0" priority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359-2D42-4013-A4D3-CEEC5BE594FC}">
  <dimension ref="A2:Q27"/>
  <sheetViews>
    <sheetView showGridLines="0" workbookViewId="0">
      <selection activeCell="B7" sqref="B7"/>
    </sheetView>
  </sheetViews>
  <sheetFormatPr defaultRowHeight="14.4" x14ac:dyDescent="0.3"/>
  <cols>
    <col min="1" max="1" width="1.88671875" style="128" customWidth="1"/>
    <col min="2" max="2" width="34.109375" style="128" bestFit="1" customWidth="1"/>
    <col min="3" max="14" width="11.21875" style="128" bestFit="1" customWidth="1"/>
    <col min="15" max="15" width="8.88671875" style="128"/>
    <col min="16" max="16" width="10.109375" style="128" bestFit="1" customWidth="1"/>
    <col min="17" max="16384" width="8.88671875" style="128"/>
  </cols>
  <sheetData>
    <row r="2" spans="1:17" s="147" customFormat="1" ht="15" thickBot="1" x14ac:dyDescent="0.35">
      <c r="B2" s="217" t="s">
        <v>472</v>
      </c>
      <c r="C2" s="247">
        <v>42064</v>
      </c>
      <c r="D2" s="247">
        <v>42430</v>
      </c>
      <c r="E2" s="247">
        <v>42795</v>
      </c>
      <c r="F2" s="247">
        <v>43160</v>
      </c>
      <c r="G2" s="247">
        <v>43525</v>
      </c>
      <c r="H2" s="247">
        <v>43891</v>
      </c>
      <c r="I2" s="247">
        <v>44256</v>
      </c>
      <c r="J2" s="247">
        <v>44621</v>
      </c>
      <c r="K2" s="247">
        <v>44986</v>
      </c>
      <c r="L2" s="247">
        <v>45352</v>
      </c>
      <c r="M2" s="247">
        <v>45717</v>
      </c>
      <c r="N2" s="247">
        <v>46082</v>
      </c>
    </row>
    <row r="3" spans="1:17" s="147" customFormat="1" x14ac:dyDescent="0.3">
      <c r="A3" s="147" t="s">
        <v>240</v>
      </c>
      <c r="B3" s="248" t="s">
        <v>485</v>
      </c>
      <c r="C3" s="249">
        <v>8353</v>
      </c>
      <c r="D3" s="249">
        <v>10028</v>
      </c>
      <c r="E3" s="249">
        <v>11531</v>
      </c>
      <c r="F3" s="249">
        <v>13218</v>
      </c>
      <c r="G3" s="249">
        <v>14841</v>
      </c>
      <c r="H3" s="249">
        <v>17003</v>
      </c>
      <c r="I3" s="249">
        <v>23224</v>
      </c>
      <c r="J3" s="249">
        <v>23885</v>
      </c>
      <c r="K3" s="249">
        <v>22467</v>
      </c>
      <c r="L3" s="249">
        <v>25210</v>
      </c>
      <c r="M3" s="249">
        <v>35694</v>
      </c>
      <c r="N3" s="249">
        <v>33986</v>
      </c>
    </row>
    <row r="4" spans="1:17" x14ac:dyDescent="0.3">
      <c r="B4" s="250" t="s">
        <v>256</v>
      </c>
      <c r="C4" s="236">
        <v>15946</v>
      </c>
      <c r="D4" s="236">
        <v>17839</v>
      </c>
      <c r="E4" s="236">
        <v>19340</v>
      </c>
      <c r="F4" s="236">
        <v>19963</v>
      </c>
      <c r="G4" s="236">
        <v>22126</v>
      </c>
      <c r="H4" s="236">
        <v>23920</v>
      </c>
      <c r="I4" s="236">
        <v>28845</v>
      </c>
      <c r="J4" s="236">
        <v>32921</v>
      </c>
      <c r="K4" s="236">
        <v>37605</v>
      </c>
      <c r="L4" s="236">
        <v>39523</v>
      </c>
      <c r="M4" s="236">
        <v>41591</v>
      </c>
      <c r="N4" s="236">
        <v>45273</v>
      </c>
      <c r="O4" s="219"/>
      <c r="P4" s="220"/>
      <c r="Q4" s="151"/>
    </row>
    <row r="5" spans="1:17" x14ac:dyDescent="0.3">
      <c r="B5" s="250" t="s">
        <v>257</v>
      </c>
      <c r="C5" s="236">
        <v>-1475</v>
      </c>
      <c r="D5" s="236">
        <v>-1654</v>
      </c>
      <c r="E5" s="236">
        <v>-1743</v>
      </c>
      <c r="F5" s="236">
        <v>-1523</v>
      </c>
      <c r="G5" s="236">
        <v>-2881</v>
      </c>
      <c r="H5" s="236">
        <v>-3861</v>
      </c>
      <c r="I5" s="236">
        <v>-1835</v>
      </c>
      <c r="J5" s="236">
        <v>-7937</v>
      </c>
      <c r="K5" s="236">
        <v>-7076</v>
      </c>
      <c r="L5" s="236">
        <v>-2667</v>
      </c>
      <c r="M5" s="236">
        <v>-1769</v>
      </c>
      <c r="N5" s="236">
        <v>-5177</v>
      </c>
      <c r="O5" s="219"/>
      <c r="P5" s="220"/>
      <c r="Q5" s="151"/>
    </row>
    <row r="6" spans="1:17" x14ac:dyDescent="0.3">
      <c r="B6" s="250" t="s">
        <v>258</v>
      </c>
      <c r="C6" s="236">
        <v>0</v>
      </c>
      <c r="D6" s="236">
        <v>242</v>
      </c>
      <c r="E6" s="236">
        <v>-19</v>
      </c>
      <c r="F6" s="236">
        <v>328</v>
      </c>
      <c r="G6" s="236">
        <v>916</v>
      </c>
      <c r="H6" s="236">
        <v>-373</v>
      </c>
      <c r="I6" s="236">
        <v>-245</v>
      </c>
      <c r="J6" s="236">
        <v>1489</v>
      </c>
      <c r="K6" s="236">
        <v>-279</v>
      </c>
      <c r="L6" s="236">
        <v>91</v>
      </c>
      <c r="M6" s="236">
        <v>176</v>
      </c>
      <c r="N6" s="236">
        <v>-26</v>
      </c>
      <c r="O6" s="221"/>
      <c r="P6" s="220"/>
      <c r="Q6" s="219"/>
    </row>
    <row r="7" spans="1:17" x14ac:dyDescent="0.3">
      <c r="B7" s="250" t="s">
        <v>259</v>
      </c>
      <c r="C7" s="236">
        <v>-221</v>
      </c>
      <c r="D7" s="236">
        <v>-1134</v>
      </c>
      <c r="E7" s="236">
        <v>0</v>
      </c>
      <c r="F7" s="236">
        <v>0</v>
      </c>
      <c r="G7" s="236">
        <v>0</v>
      </c>
      <c r="H7" s="236">
        <v>0</v>
      </c>
      <c r="I7" s="236">
        <v>-534</v>
      </c>
      <c r="J7" s="236">
        <v>-1914</v>
      </c>
      <c r="K7" s="236">
        <v>-3108</v>
      </c>
      <c r="L7" s="236">
        <v>-1172</v>
      </c>
      <c r="M7" s="236">
        <v>-1024</v>
      </c>
      <c r="N7" s="236">
        <v>-2645</v>
      </c>
      <c r="O7" s="219"/>
      <c r="P7" s="220"/>
      <c r="Q7" s="219"/>
    </row>
    <row r="8" spans="1:17" x14ac:dyDescent="0.3">
      <c r="B8" s="250" t="s">
        <v>260</v>
      </c>
      <c r="C8" s="236">
        <v>854</v>
      </c>
      <c r="D8" s="236">
        <v>600</v>
      </c>
      <c r="E8" s="236">
        <v>-394</v>
      </c>
      <c r="F8" s="236">
        <v>1279</v>
      </c>
      <c r="G8" s="236">
        <v>1512</v>
      </c>
      <c r="H8" s="236">
        <v>1867</v>
      </c>
      <c r="I8" s="236">
        <v>3382</v>
      </c>
      <c r="J8" s="236">
        <v>6938</v>
      </c>
      <c r="K8" s="236">
        <v>4119</v>
      </c>
      <c r="L8" s="236">
        <v>-1334</v>
      </c>
      <c r="M8" s="236">
        <v>2322</v>
      </c>
      <c r="N8" s="236">
        <v>5209</v>
      </c>
      <c r="O8" s="219"/>
      <c r="P8" s="220"/>
      <c r="Q8" s="221"/>
    </row>
    <row r="9" spans="1:17" x14ac:dyDescent="0.3">
      <c r="B9" s="250" t="s">
        <v>261</v>
      </c>
      <c r="C9" s="236">
        <v>-842</v>
      </c>
      <c r="D9" s="236">
        <v>-1946</v>
      </c>
      <c r="E9" s="236">
        <v>-2156</v>
      </c>
      <c r="F9" s="236">
        <v>84</v>
      </c>
      <c r="G9" s="236">
        <v>-453</v>
      </c>
      <c r="H9" s="236">
        <v>-2367</v>
      </c>
      <c r="I9" s="236">
        <v>768</v>
      </c>
      <c r="J9" s="236">
        <v>-1424</v>
      </c>
      <c r="K9" s="236">
        <v>-6344</v>
      </c>
      <c r="L9" s="236">
        <v>-5082</v>
      </c>
      <c r="M9" s="236">
        <v>-295</v>
      </c>
      <c r="N9" s="236">
        <v>-2639</v>
      </c>
      <c r="O9" s="219"/>
      <c r="P9" s="220"/>
      <c r="Q9" s="219"/>
    </row>
    <row r="10" spans="1:17" x14ac:dyDescent="0.3">
      <c r="B10" s="250" t="s">
        <v>262</v>
      </c>
      <c r="C10" s="236">
        <v>-6751</v>
      </c>
      <c r="D10" s="236">
        <v>-5865</v>
      </c>
      <c r="E10" s="236">
        <v>-5653</v>
      </c>
      <c r="F10" s="236">
        <v>-6829</v>
      </c>
      <c r="G10" s="236">
        <v>-6832</v>
      </c>
      <c r="H10" s="236">
        <v>-4550</v>
      </c>
      <c r="I10" s="236">
        <v>-6389</v>
      </c>
      <c r="J10" s="236">
        <v>-7612</v>
      </c>
      <c r="K10" s="236">
        <v>-8794</v>
      </c>
      <c r="L10" s="236">
        <v>-9231</v>
      </c>
      <c r="M10" s="236">
        <v>-5602</v>
      </c>
      <c r="N10" s="236">
        <v>-8648</v>
      </c>
      <c r="O10" s="219"/>
      <c r="P10" s="220"/>
      <c r="Q10" s="219"/>
    </row>
    <row r="11" spans="1:17" s="147" customFormat="1" ht="15" thickBot="1" x14ac:dyDescent="0.35">
      <c r="A11" s="147" t="s">
        <v>240</v>
      </c>
      <c r="B11" s="251" t="s">
        <v>486</v>
      </c>
      <c r="C11" s="237">
        <v>999</v>
      </c>
      <c r="D11" s="237">
        <v>-885</v>
      </c>
      <c r="E11" s="237">
        <v>-14664</v>
      </c>
      <c r="F11" s="237">
        <v>4533</v>
      </c>
      <c r="G11" s="237">
        <v>-632</v>
      </c>
      <c r="H11" s="237">
        <v>-331</v>
      </c>
      <c r="I11" s="237">
        <v>-7373</v>
      </c>
      <c r="J11" s="237">
        <v>-6485</v>
      </c>
      <c r="K11" s="237">
        <v>-1071</v>
      </c>
      <c r="L11" s="237">
        <v>-5093</v>
      </c>
      <c r="M11" s="237">
        <v>-1864</v>
      </c>
      <c r="N11" s="237">
        <v>3546</v>
      </c>
      <c r="O11" s="222"/>
      <c r="P11" s="223"/>
      <c r="Q11" s="224"/>
    </row>
    <row r="12" spans="1:17" x14ac:dyDescent="0.3">
      <c r="B12" s="252" t="s">
        <v>264</v>
      </c>
      <c r="C12" s="238">
        <v>-2247</v>
      </c>
      <c r="D12" s="238">
        <v>-2723</v>
      </c>
      <c r="E12" s="238">
        <v>-2760</v>
      </c>
      <c r="F12" s="238">
        <v>-1998</v>
      </c>
      <c r="G12" s="238">
        <v>-2445</v>
      </c>
      <c r="H12" s="238">
        <v>-3307</v>
      </c>
      <c r="I12" s="238">
        <v>-2107</v>
      </c>
      <c r="J12" s="238">
        <v>-2161</v>
      </c>
      <c r="K12" s="238">
        <v>-2579</v>
      </c>
      <c r="L12" s="238">
        <v>-2201</v>
      </c>
      <c r="M12" s="238">
        <v>-2237</v>
      </c>
      <c r="N12" s="238">
        <v>-2727</v>
      </c>
      <c r="O12" s="151"/>
      <c r="P12" s="151"/>
      <c r="Q12" s="219"/>
    </row>
    <row r="13" spans="1:17" x14ac:dyDescent="0.3">
      <c r="B13" s="253" t="s">
        <v>265</v>
      </c>
      <c r="C13" s="239">
        <v>-23923</v>
      </c>
      <c r="D13" s="239">
        <v>-24577</v>
      </c>
      <c r="E13" s="239">
        <v>-66410</v>
      </c>
      <c r="F13" s="239">
        <v>-69159</v>
      </c>
      <c r="G13" s="239">
        <v>-79410</v>
      </c>
      <c r="H13" s="239">
        <v>-37482</v>
      </c>
      <c r="I13" s="239">
        <v>-46738</v>
      </c>
      <c r="J13" s="239">
        <v>-59951</v>
      </c>
      <c r="K13" s="239">
        <v>-75800</v>
      </c>
      <c r="L13" s="239">
        <v>-78092</v>
      </c>
      <c r="M13" s="239">
        <v>-82742</v>
      </c>
      <c r="N13" s="239">
        <v>-82617</v>
      </c>
      <c r="O13" s="151"/>
      <c r="P13" s="151"/>
      <c r="Q13" s="225"/>
    </row>
    <row r="14" spans="1:17" x14ac:dyDescent="0.3">
      <c r="B14" s="253" t="s">
        <v>266</v>
      </c>
      <c r="C14" s="239">
        <v>25253</v>
      </c>
      <c r="D14" s="239">
        <v>24980</v>
      </c>
      <c r="E14" s="239">
        <v>52048</v>
      </c>
      <c r="F14" s="239">
        <v>74003</v>
      </c>
      <c r="G14" s="239">
        <v>78098</v>
      </c>
      <c r="H14" s="239">
        <v>38861</v>
      </c>
      <c r="I14" s="239">
        <v>40381</v>
      </c>
      <c r="J14" s="239">
        <v>57356</v>
      </c>
      <c r="K14" s="239">
        <v>76722</v>
      </c>
      <c r="L14" s="239">
        <v>72930</v>
      </c>
      <c r="M14" s="239">
        <v>84877</v>
      </c>
      <c r="N14" s="239">
        <v>89699</v>
      </c>
      <c r="O14" s="151"/>
      <c r="P14" s="220"/>
      <c r="Q14" s="151"/>
    </row>
    <row r="15" spans="1:17" x14ac:dyDescent="0.3">
      <c r="B15" s="253" t="s">
        <v>267</v>
      </c>
      <c r="C15" s="239">
        <v>2551</v>
      </c>
      <c r="D15" s="239">
        <v>2383</v>
      </c>
      <c r="E15" s="239">
        <v>0</v>
      </c>
      <c r="F15" s="239">
        <v>0</v>
      </c>
      <c r="G15" s="239">
        <v>0</v>
      </c>
      <c r="H15" s="239">
        <v>0</v>
      </c>
      <c r="I15" s="239">
        <v>0</v>
      </c>
      <c r="J15" s="239">
        <v>0</v>
      </c>
      <c r="K15" s="239">
        <v>0</v>
      </c>
      <c r="L15" s="239">
        <v>0</v>
      </c>
      <c r="M15" s="239">
        <v>0</v>
      </c>
      <c r="N15" s="239">
        <v>0</v>
      </c>
      <c r="O15" s="151"/>
      <c r="P15" s="220"/>
      <c r="Q15" s="151"/>
    </row>
    <row r="16" spans="1:17" x14ac:dyDescent="0.3">
      <c r="B16" s="253" t="s">
        <v>268</v>
      </c>
      <c r="C16" s="239">
        <v>0</v>
      </c>
      <c r="D16" s="239">
        <v>0</v>
      </c>
      <c r="E16" s="239">
        <v>2753</v>
      </c>
      <c r="F16" s="239">
        <v>1768</v>
      </c>
      <c r="G16" s="239">
        <v>1557</v>
      </c>
      <c r="H16" s="239">
        <v>1929</v>
      </c>
      <c r="I16" s="239">
        <v>1418</v>
      </c>
      <c r="J16" s="239">
        <v>1898</v>
      </c>
      <c r="K16" s="239">
        <v>1525</v>
      </c>
      <c r="L16" s="239">
        <v>1768</v>
      </c>
      <c r="M16" s="239">
        <v>2040</v>
      </c>
      <c r="N16" s="239">
        <v>2713</v>
      </c>
      <c r="O16" s="151"/>
      <c r="P16" s="220"/>
      <c r="Q16" s="151"/>
    </row>
    <row r="17" spans="1:17" x14ac:dyDescent="0.3">
      <c r="B17" s="253" t="s">
        <v>269</v>
      </c>
      <c r="C17" s="239">
        <v>-1376</v>
      </c>
      <c r="D17" s="239">
        <v>-747</v>
      </c>
      <c r="E17" s="239">
        <v>0</v>
      </c>
      <c r="F17" s="239">
        <v>0</v>
      </c>
      <c r="G17" s="239">
        <v>0</v>
      </c>
      <c r="H17" s="239">
        <v>0</v>
      </c>
      <c r="I17" s="239">
        <v>0</v>
      </c>
      <c r="J17" s="239">
        <v>0</v>
      </c>
      <c r="K17" s="239">
        <v>0</v>
      </c>
      <c r="L17" s="239">
        <v>0</v>
      </c>
      <c r="M17" s="239">
        <v>0</v>
      </c>
      <c r="N17" s="239">
        <v>0</v>
      </c>
      <c r="O17" s="151"/>
      <c r="P17" s="220"/>
      <c r="Q17" s="151"/>
    </row>
    <row r="18" spans="1:17" x14ac:dyDescent="0.3">
      <c r="B18" s="253" t="s">
        <v>270</v>
      </c>
      <c r="C18" s="239">
        <v>0</v>
      </c>
      <c r="D18" s="239">
        <v>-142</v>
      </c>
      <c r="E18" s="239">
        <v>-164</v>
      </c>
      <c r="F18" s="239">
        <v>-130</v>
      </c>
      <c r="G18" s="239">
        <v>-24</v>
      </c>
      <c r="H18" s="239">
        <v>-108</v>
      </c>
      <c r="I18" s="239">
        <v>0</v>
      </c>
      <c r="J18" s="239">
        <v>0</v>
      </c>
      <c r="K18" s="239">
        <v>0</v>
      </c>
      <c r="L18" s="239">
        <v>0</v>
      </c>
      <c r="M18" s="239">
        <v>0</v>
      </c>
      <c r="N18" s="239">
        <v>0</v>
      </c>
      <c r="P18" s="218"/>
    </row>
    <row r="19" spans="1:17" x14ac:dyDescent="0.3">
      <c r="B19" s="253" t="s">
        <v>271</v>
      </c>
      <c r="C19" s="239">
        <v>741</v>
      </c>
      <c r="D19" s="239">
        <v>-59</v>
      </c>
      <c r="E19" s="239">
        <v>-131</v>
      </c>
      <c r="F19" s="239">
        <v>49</v>
      </c>
      <c r="G19" s="239">
        <v>1592</v>
      </c>
      <c r="H19" s="239">
        <v>-224</v>
      </c>
      <c r="I19" s="239">
        <v>-327</v>
      </c>
      <c r="J19" s="239">
        <v>-3627</v>
      </c>
      <c r="K19" s="239">
        <v>-939</v>
      </c>
      <c r="L19" s="239">
        <v>502</v>
      </c>
      <c r="M19" s="239">
        <v>-3802</v>
      </c>
      <c r="N19" s="239">
        <v>-3522</v>
      </c>
    </row>
    <row r="20" spans="1:17" s="147" customFormat="1" ht="15" thickBot="1" x14ac:dyDescent="0.35">
      <c r="A20" s="147" t="s">
        <v>240</v>
      </c>
      <c r="B20" s="254" t="s">
        <v>487</v>
      </c>
      <c r="C20" s="240">
        <v>-4935</v>
      </c>
      <c r="D20" s="240">
        <v>-6813</v>
      </c>
      <c r="E20" s="240">
        <v>-6939</v>
      </c>
      <c r="F20" s="240">
        <v>-20505</v>
      </c>
      <c r="G20" s="240">
        <v>-14512</v>
      </c>
      <c r="H20" s="240">
        <v>-17591</v>
      </c>
      <c r="I20" s="240">
        <v>-9786</v>
      </c>
      <c r="J20" s="240">
        <v>-24642</v>
      </c>
      <c r="K20" s="240">
        <v>-26695</v>
      </c>
      <c r="L20" s="240">
        <v>-17504</v>
      </c>
      <c r="M20" s="240">
        <v>-24161</v>
      </c>
      <c r="N20" s="240">
        <v>-39786</v>
      </c>
    </row>
    <row r="21" spans="1:17" x14ac:dyDescent="0.3">
      <c r="B21" s="255" t="s">
        <v>273</v>
      </c>
      <c r="C21" s="241">
        <v>0</v>
      </c>
      <c r="D21" s="241">
        <v>0</v>
      </c>
      <c r="E21" s="241">
        <v>0</v>
      </c>
      <c r="F21" s="241">
        <v>5</v>
      </c>
      <c r="G21" s="241">
        <v>6</v>
      </c>
      <c r="H21" s="241">
        <v>6</v>
      </c>
      <c r="I21" s="241">
        <v>15</v>
      </c>
      <c r="J21" s="241">
        <v>21</v>
      </c>
      <c r="K21" s="241">
        <v>35</v>
      </c>
      <c r="L21" s="241">
        <v>5</v>
      </c>
      <c r="M21" s="241">
        <v>6</v>
      </c>
      <c r="N21" s="241">
        <v>2</v>
      </c>
    </row>
    <row r="22" spans="1:17" x14ac:dyDescent="0.3">
      <c r="B22" s="250" t="s">
        <v>274</v>
      </c>
      <c r="C22" s="236">
        <v>0</v>
      </c>
      <c r="D22" s="236">
        <v>0</v>
      </c>
      <c r="E22" s="236">
        <v>0</v>
      </c>
      <c r="F22" s="236">
        <v>0</v>
      </c>
      <c r="G22" s="236">
        <v>0</v>
      </c>
      <c r="H22" s="236">
        <v>0</v>
      </c>
      <c r="I22" s="236">
        <v>0</v>
      </c>
      <c r="J22" s="236">
        <v>0</v>
      </c>
      <c r="K22" s="236">
        <v>0</v>
      </c>
      <c r="L22" s="236">
        <v>0</v>
      </c>
      <c r="M22" s="236">
        <v>-985</v>
      </c>
      <c r="N22" s="236">
        <v>0</v>
      </c>
    </row>
    <row r="23" spans="1:17" x14ac:dyDescent="0.3">
      <c r="B23" s="250" t="s">
        <v>275</v>
      </c>
      <c r="C23" s="236">
        <v>-4935</v>
      </c>
      <c r="D23" s="236">
        <v>-6813</v>
      </c>
      <c r="E23" s="236">
        <v>-6939</v>
      </c>
      <c r="F23" s="236">
        <v>-7464</v>
      </c>
      <c r="G23" s="236">
        <v>-13705</v>
      </c>
      <c r="H23" s="236">
        <v>-9548</v>
      </c>
      <c r="I23" s="236">
        <v>-9137</v>
      </c>
      <c r="J23" s="236">
        <v>-12731</v>
      </c>
      <c r="K23" s="236">
        <v>-13653</v>
      </c>
      <c r="L23" s="236">
        <v>-14731</v>
      </c>
      <c r="M23" s="236">
        <v>-20289</v>
      </c>
      <c r="N23" s="236">
        <v>-18656</v>
      </c>
    </row>
    <row r="24" spans="1:17" x14ac:dyDescent="0.3">
      <c r="B24" s="250" t="s">
        <v>276</v>
      </c>
      <c r="C24" s="236">
        <v>0</v>
      </c>
      <c r="D24" s="236">
        <v>0</v>
      </c>
      <c r="E24" s="236">
        <v>0</v>
      </c>
      <c r="F24" s="236">
        <v>0</v>
      </c>
      <c r="G24" s="236">
        <v>0</v>
      </c>
      <c r="H24" s="236">
        <v>-571</v>
      </c>
      <c r="I24" s="236">
        <v>-698</v>
      </c>
      <c r="J24" s="236">
        <v>-915</v>
      </c>
      <c r="K24" s="236">
        <v>-1231</v>
      </c>
      <c r="L24" s="236">
        <v>-2024</v>
      </c>
      <c r="M24" s="236">
        <v>-2355</v>
      </c>
      <c r="N24" s="236">
        <v>-2824</v>
      </c>
    </row>
    <row r="25" spans="1:17" ht="15" thickBot="1" x14ac:dyDescent="0.35">
      <c r="B25" s="256" t="s">
        <v>277</v>
      </c>
      <c r="C25" s="242">
        <v>0</v>
      </c>
      <c r="D25" s="242">
        <v>0</v>
      </c>
      <c r="E25" s="242">
        <v>0</v>
      </c>
      <c r="F25" s="242">
        <v>-13046</v>
      </c>
      <c r="G25" s="242">
        <v>-813</v>
      </c>
      <c r="H25" s="242">
        <v>-7478</v>
      </c>
      <c r="I25" s="242">
        <v>34</v>
      </c>
      <c r="J25" s="242">
        <v>-11017</v>
      </c>
      <c r="K25" s="242">
        <v>-11846</v>
      </c>
      <c r="L25" s="242">
        <v>-754</v>
      </c>
      <c r="M25" s="242">
        <v>-538</v>
      </c>
      <c r="N25" s="242">
        <v>-18308</v>
      </c>
    </row>
    <row r="26" spans="1:17" s="147" customFormat="1" ht="15" thickBot="1" x14ac:dyDescent="0.35">
      <c r="A26" s="147" t="s">
        <v>240</v>
      </c>
      <c r="B26" s="257" t="s">
        <v>278</v>
      </c>
      <c r="C26" s="243">
        <v>4417</v>
      </c>
      <c r="D26" s="243">
        <v>2330</v>
      </c>
      <c r="E26" s="243">
        <v>-10072</v>
      </c>
      <c r="F26" s="243">
        <v>-2754</v>
      </c>
      <c r="G26" s="243">
        <v>-303</v>
      </c>
      <c r="H26" s="243">
        <v>-919</v>
      </c>
      <c r="I26" s="243">
        <v>6065</v>
      </c>
      <c r="J26" s="243">
        <v>-7242</v>
      </c>
      <c r="K26" s="243">
        <v>-5299</v>
      </c>
      <c r="L26" s="243">
        <v>2613</v>
      </c>
      <c r="M26" s="243">
        <v>9669</v>
      </c>
      <c r="N26" s="243">
        <v>-2254</v>
      </c>
    </row>
    <row r="27" spans="1:17" x14ac:dyDescent="0.3">
      <c r="B27" s="258" t="s">
        <v>279</v>
      </c>
      <c r="C27" s="244">
        <v>6106</v>
      </c>
      <c r="D27" s="244">
        <v>7305</v>
      </c>
      <c r="E27" s="244">
        <v>8771</v>
      </c>
      <c r="F27" s="244">
        <v>11220</v>
      </c>
      <c r="G27" s="244">
        <v>12396</v>
      </c>
      <c r="H27" s="244">
        <v>13696</v>
      </c>
      <c r="I27" s="244">
        <v>21117</v>
      </c>
      <c r="J27" s="244">
        <v>21724</v>
      </c>
      <c r="K27" s="244">
        <v>19888</v>
      </c>
      <c r="L27" s="244">
        <v>23009</v>
      </c>
      <c r="M27" s="244">
        <v>33457</v>
      </c>
      <c r="N27" s="244">
        <v>31259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tabColor rgb="FFFF0000"/>
  </sheetPr>
  <dimension ref="A1:K44"/>
  <sheetViews>
    <sheetView showGridLines="0" zoomScaleNormal="100" workbookViewId="0">
      <pane ySplit="3" topLeftCell="A25" activePane="bottomLeft" state="frozen"/>
      <selection pane="bottomLeft" activeCell="N25" sqref="N25"/>
    </sheetView>
  </sheetViews>
  <sheetFormatPr defaultRowHeight="14.4" x14ac:dyDescent="0.3"/>
  <cols>
    <col min="1" max="1" width="1.88671875" customWidth="1"/>
    <col min="2" max="2" width="37" customWidth="1"/>
    <col min="3" max="3" width="10.44140625" bestFit="1" customWidth="1"/>
    <col min="4" max="4" width="9.6640625" customWidth="1"/>
    <col min="5" max="5" width="10.88671875" bestFit="1" customWidth="1"/>
    <col min="6" max="6" width="10.77734375" bestFit="1" customWidth="1"/>
    <col min="7" max="7" width="10.109375" customWidth="1"/>
    <col min="8" max="8" width="12" bestFit="1" customWidth="1"/>
    <col min="9" max="9" width="11.6640625" bestFit="1" customWidth="1"/>
    <col min="10" max="10" width="9.44140625" bestFit="1" customWidth="1"/>
    <col min="11" max="11" width="12.44140625" bestFit="1" customWidth="1"/>
    <col min="12" max="12" width="7.109375" bestFit="1" customWidth="1"/>
    <col min="13" max="16" width="9.109375"/>
  </cols>
  <sheetData>
    <row r="1" spans="1:11" s="118" customFormat="1" x14ac:dyDescent="0.3"/>
    <row r="2" spans="1:11" x14ac:dyDescent="0.3">
      <c r="A2" s="118"/>
      <c r="B2" s="434" t="s">
        <v>325</v>
      </c>
      <c r="C2" s="434"/>
      <c r="D2" s="434"/>
      <c r="E2" s="1"/>
      <c r="F2" s="1"/>
      <c r="G2" s="1"/>
      <c r="H2" s="1"/>
      <c r="I2" s="1"/>
      <c r="J2" s="1"/>
      <c r="K2" s="1"/>
    </row>
    <row r="3" spans="1:11" x14ac:dyDescent="0.3">
      <c r="A3" s="118"/>
      <c r="B3" s="434"/>
      <c r="C3" s="434"/>
      <c r="D3" s="434"/>
      <c r="E3" s="1"/>
      <c r="F3" s="1"/>
      <c r="G3" s="1"/>
      <c r="H3" s="1"/>
      <c r="I3" s="1"/>
      <c r="J3" s="1"/>
      <c r="K3" s="1"/>
    </row>
    <row r="4" spans="1:11" ht="4.8" customHeight="1" x14ac:dyDescent="0.3"/>
    <row r="5" spans="1:11" ht="18" x14ac:dyDescent="0.35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3.6" customHeight="1" x14ac:dyDescent="0.3"/>
    <row r="7" spans="1:11" x14ac:dyDescent="0.3">
      <c r="B7" s="4" t="s">
        <v>473</v>
      </c>
    </row>
    <row r="8" spans="1:11" ht="3.6" customHeight="1" x14ac:dyDescent="0.3"/>
    <row r="9" spans="1:11" ht="15" thickBot="1" x14ac:dyDescent="0.35">
      <c r="B9" s="26" t="s">
        <v>2</v>
      </c>
    </row>
    <row r="10" spans="1:11" x14ac:dyDescent="0.3">
      <c r="B10" s="5"/>
      <c r="C10" s="5"/>
      <c r="D10" s="57"/>
      <c r="E10" s="57"/>
      <c r="F10" s="57"/>
      <c r="G10" s="57"/>
      <c r="H10" s="55" t="s">
        <v>9</v>
      </c>
      <c r="I10" s="55" t="s">
        <v>9</v>
      </c>
      <c r="J10" s="55" t="s">
        <v>139</v>
      </c>
      <c r="K10" s="55" t="s">
        <v>140</v>
      </c>
    </row>
    <row r="11" spans="1:11" ht="16.8" thickBot="1" x14ac:dyDescent="0.35">
      <c r="B11" s="25" t="s">
        <v>3</v>
      </c>
      <c r="C11" s="25"/>
      <c r="D11" s="56" t="s">
        <v>4</v>
      </c>
      <c r="E11" s="56" t="s">
        <v>5</v>
      </c>
      <c r="F11" s="56" t="s">
        <v>6</v>
      </c>
      <c r="G11" s="56" t="s">
        <v>8</v>
      </c>
      <c r="H11" s="56" t="s">
        <v>10</v>
      </c>
      <c r="I11" s="56" t="s">
        <v>11</v>
      </c>
      <c r="J11" s="56" t="s">
        <v>13</v>
      </c>
      <c r="K11" s="56" t="s">
        <v>14</v>
      </c>
    </row>
    <row r="12" spans="1:11" x14ac:dyDescent="0.3">
      <c r="D12" s="15"/>
      <c r="E12" s="15"/>
      <c r="F12" s="15"/>
      <c r="G12" s="15"/>
      <c r="H12" s="15"/>
      <c r="I12" s="15"/>
      <c r="J12" s="15"/>
      <c r="K12" s="15"/>
    </row>
    <row r="13" spans="1:11" x14ac:dyDescent="0.3">
      <c r="B13" s="103" t="str">
        <f>'Data - Comps'!C3</f>
        <v>Infosys</v>
      </c>
      <c r="C13" s="7"/>
      <c r="D13" s="58" t="s">
        <v>1</v>
      </c>
      <c r="E13" s="291">
        <f>'Data - Comps'!F3</f>
        <v>8737</v>
      </c>
      <c r="F13" s="304">
        <f>'Data - Comps'!E3</f>
        <v>468958.99</v>
      </c>
      <c r="G13" s="59">
        <v>0.3</v>
      </c>
      <c r="H13" s="60">
        <f>E13/F13</f>
        <v>1.8630626955248263E-2</v>
      </c>
      <c r="I13" s="60">
        <f>E13/(E13+F13)</f>
        <v>1.8289875114924033E-2</v>
      </c>
      <c r="J13" s="61">
        <f>'Infosys - Beta'!J8</f>
        <v>0.67533944979556459</v>
      </c>
      <c r="K13" s="61">
        <f>J13/(1+(1-G13)*H13)</f>
        <v>0.66664543411941579</v>
      </c>
    </row>
    <row r="14" spans="1:11" x14ac:dyDescent="0.3">
      <c r="B14" t="str">
        <f>'Data - Comps'!C4</f>
        <v>TCS</v>
      </c>
      <c r="C14" s="7"/>
      <c r="D14" s="58" t="s">
        <v>1</v>
      </c>
      <c r="E14" s="291">
        <f>'Data - Comps'!F4</f>
        <v>11283</v>
      </c>
      <c r="F14" s="304">
        <f>'Data - Comps'!E4</f>
        <v>885374.85</v>
      </c>
      <c r="G14" s="59">
        <v>0.3</v>
      </c>
      <c r="H14" s="60">
        <f>E14/F14</f>
        <v>1.2743754806226989E-2</v>
      </c>
      <c r="I14" s="60">
        <f>E14/(E14+F14)</f>
        <v>1.2583395104386807E-2</v>
      </c>
      <c r="J14" s="235">
        <f>'TCS - Beta'!J8</f>
        <v>-7.7447364137855884E-2</v>
      </c>
      <c r="K14" s="235">
        <f t="shared" ref="K14:K17" si="0">J14/(1+(1-G14)*H14)</f>
        <v>-7.6762593568348331E-2</v>
      </c>
    </row>
    <row r="15" spans="1:11" x14ac:dyDescent="0.3">
      <c r="B15" t="str">
        <f>'Data - Comps'!C5</f>
        <v>HCL Technologies</v>
      </c>
      <c r="C15" s="7"/>
      <c r="D15" s="58" t="s">
        <v>1</v>
      </c>
      <c r="E15" s="291">
        <f>'Data - Comps'!F5</f>
        <v>5215</v>
      </c>
      <c r="F15" s="304">
        <f>'Data - Comps'!E5</f>
        <v>364812.07</v>
      </c>
      <c r="G15" s="59">
        <v>0.3</v>
      </c>
      <c r="H15" s="60">
        <f>E15/F15</f>
        <v>1.429503141165258E-2</v>
      </c>
      <c r="I15" s="60">
        <f>E15/(E15+F15)</f>
        <v>1.40935634790179E-2</v>
      </c>
      <c r="J15" s="61">
        <f>'HCL Technologies - Beta'!J8</f>
        <v>0.7844093002513095</v>
      </c>
      <c r="K15" s="61">
        <f t="shared" si="0"/>
        <v>0.77663785646376982</v>
      </c>
    </row>
    <row r="16" spans="1:11" x14ac:dyDescent="0.3">
      <c r="B16" t="str">
        <f>'Data - Comps'!C6</f>
        <v>Wipro</v>
      </c>
      <c r="C16" s="7"/>
      <c r="D16" s="58" t="s">
        <v>1</v>
      </c>
      <c r="E16" s="291">
        <f>'Data - Comps'!F6</f>
        <v>20291</v>
      </c>
      <c r="F16" s="304">
        <f>'Data - Comps'!E6</f>
        <v>181880.46</v>
      </c>
      <c r="G16" s="59">
        <v>0.3</v>
      </c>
      <c r="H16" s="60">
        <f>E16/F16</f>
        <v>0.11156228656998118</v>
      </c>
      <c r="I16" s="60">
        <f>E16/(E16+F16)</f>
        <v>0.10036530378719133</v>
      </c>
      <c r="J16" s="235">
        <f>'WIPRO - Beta'!J8</f>
        <v>1.4755079090459846</v>
      </c>
      <c r="K16" s="235">
        <f t="shared" si="0"/>
        <v>1.3686269060740137</v>
      </c>
    </row>
    <row r="17" spans="2:11" x14ac:dyDescent="0.3">
      <c r="B17" t="str">
        <f>'Data - Comps'!C7</f>
        <v>Tech Mahindra</v>
      </c>
      <c r="C17" s="7"/>
      <c r="D17" s="58" t="s">
        <v>1</v>
      </c>
      <c r="E17" s="291">
        <f>'Data - Comps'!F7</f>
        <v>2186.1999999999998</v>
      </c>
      <c r="F17" s="304">
        <f>'Data - Comps'!E7</f>
        <v>161201.84</v>
      </c>
      <c r="G17" s="59">
        <v>0.3</v>
      </c>
      <c r="H17" s="60">
        <f>E17/F17</f>
        <v>1.3561879938839406E-2</v>
      </c>
      <c r="I17" s="60">
        <f>E17/(E17+F17)</f>
        <v>1.3380416338919298E-2</v>
      </c>
      <c r="J17" s="61">
        <f>'Tech Mahindra - Beta'!J8</f>
        <v>0.69029840332659353</v>
      </c>
      <c r="K17" s="61">
        <f t="shared" si="0"/>
        <v>0.68380680923286963</v>
      </c>
    </row>
    <row r="18" spans="2:11" ht="15" thickBot="1" x14ac:dyDescent="0.35">
      <c r="D18" s="15"/>
      <c r="E18" s="15"/>
      <c r="F18" s="15"/>
      <c r="G18" s="15"/>
      <c r="H18" s="15"/>
      <c r="I18" s="15"/>
      <c r="J18" s="15"/>
      <c r="K18" s="15"/>
    </row>
    <row r="19" spans="2:11" x14ac:dyDescent="0.3">
      <c r="D19" s="15"/>
      <c r="E19" s="15"/>
      <c r="F19" s="62" t="s">
        <v>15</v>
      </c>
      <c r="G19" s="63">
        <f>AVERAGE(G13:G17)</f>
        <v>0.3</v>
      </c>
      <c r="H19" s="63">
        <f t="shared" ref="H19:J19" si="1">AVERAGE(H13:H17)</f>
        <v>3.415871593638968E-2</v>
      </c>
      <c r="I19" s="63">
        <f t="shared" si="1"/>
        <v>3.174251076488787E-2</v>
      </c>
      <c r="J19" s="64">
        <f t="shared" si="1"/>
        <v>0.70962153965631924</v>
      </c>
      <c r="K19" s="65">
        <f>AVERAGE(K13:K17)</f>
        <v>0.68379088246434416</v>
      </c>
    </row>
    <row r="20" spans="2:11" ht="15" thickBot="1" x14ac:dyDescent="0.35">
      <c r="D20" s="15"/>
      <c r="E20" s="15"/>
      <c r="F20" s="17" t="s">
        <v>16</v>
      </c>
      <c r="G20" s="66">
        <f>MEDIAN(G13:G17)</f>
        <v>0.3</v>
      </c>
      <c r="H20" s="66">
        <f t="shared" ref="H20:K20" si="2">MEDIAN(H13:H17)</f>
        <v>1.429503141165258E-2</v>
      </c>
      <c r="I20" s="66">
        <f t="shared" si="2"/>
        <v>1.40935634790179E-2</v>
      </c>
      <c r="J20" s="67">
        <f t="shared" si="2"/>
        <v>0.69029840332659353</v>
      </c>
      <c r="K20" s="68">
        <f t="shared" si="2"/>
        <v>0.68380680923286963</v>
      </c>
    </row>
    <row r="23" spans="2:11" x14ac:dyDescent="0.3">
      <c r="B23" s="13" t="s">
        <v>17</v>
      </c>
      <c r="C23" s="13"/>
      <c r="D23" s="13"/>
      <c r="E23" s="13"/>
      <c r="G23" s="13" t="s">
        <v>21</v>
      </c>
      <c r="H23" s="13"/>
      <c r="I23" s="13"/>
      <c r="J23" s="13"/>
      <c r="K23" s="13"/>
    </row>
    <row r="25" spans="2:11" x14ac:dyDescent="0.3">
      <c r="B25" t="s">
        <v>18</v>
      </c>
      <c r="E25" s="19">
        <v>0.1037</v>
      </c>
      <c r="G25" t="s">
        <v>22</v>
      </c>
      <c r="K25" s="19">
        <v>6.5799999999999997E-2</v>
      </c>
    </row>
    <row r="26" spans="2:11" x14ac:dyDescent="0.3">
      <c r="B26" t="s">
        <v>19</v>
      </c>
      <c r="E26" s="54">
        <f>G20</f>
        <v>0.3</v>
      </c>
      <c r="G26" t="s">
        <v>23</v>
      </c>
      <c r="K26" s="11">
        <f>Rm!G9-'WACC&gt;'!K25</f>
        <v>9.8692307692307718E-2</v>
      </c>
    </row>
    <row r="27" spans="2:11" ht="16.2" x14ac:dyDescent="0.3">
      <c r="B27" s="12" t="s">
        <v>20</v>
      </c>
      <c r="C27" s="12"/>
      <c r="D27" s="12"/>
      <c r="E27" s="14">
        <f>E25*(1-E26)</f>
        <v>7.2590000000000002E-2</v>
      </c>
      <c r="G27" t="s">
        <v>192</v>
      </c>
      <c r="K27" s="9">
        <f>K36</f>
        <v>0.69949893831128995</v>
      </c>
    </row>
    <row r="28" spans="2:11" x14ac:dyDescent="0.3">
      <c r="G28" s="12" t="s">
        <v>21</v>
      </c>
      <c r="H28" s="12"/>
      <c r="I28" s="12"/>
      <c r="J28" s="12"/>
      <c r="K28" s="23">
        <f>K25+K27*K26</f>
        <v>0.13483516445026039</v>
      </c>
    </row>
    <row r="31" spans="2:11" x14ac:dyDescent="0.3">
      <c r="B31" s="13" t="s">
        <v>24</v>
      </c>
      <c r="C31" s="13"/>
      <c r="D31" s="13"/>
      <c r="E31" s="13"/>
      <c r="G31" s="13" t="s">
        <v>29</v>
      </c>
      <c r="H31" s="13"/>
      <c r="I31" s="13"/>
      <c r="J31" s="13"/>
      <c r="K31" s="13"/>
    </row>
    <row r="33" spans="2:11" x14ac:dyDescent="0.3">
      <c r="D33" s="18" t="s">
        <v>25</v>
      </c>
      <c r="E33" s="18" t="s">
        <v>26</v>
      </c>
      <c r="G33" t="s">
        <v>30</v>
      </c>
      <c r="K33" s="9">
        <f>K20</f>
        <v>0.68380680923286963</v>
      </c>
    </row>
    <row r="34" spans="2:11" x14ac:dyDescent="0.3">
      <c r="B34" t="s">
        <v>5</v>
      </c>
      <c r="C34" s="295">
        <f>E13</f>
        <v>8737</v>
      </c>
      <c r="D34" s="8">
        <f>C34/$C$36</f>
        <v>1.8289875114924033E-2</v>
      </c>
      <c r="E34" s="11">
        <f>I19</f>
        <v>3.174251076488787E-2</v>
      </c>
      <c r="G34" t="s">
        <v>31</v>
      </c>
      <c r="K34" s="11">
        <f>E38</f>
        <v>3.2783129609421653E-2</v>
      </c>
    </row>
    <row r="35" spans="2:11" x14ac:dyDescent="0.3">
      <c r="B35" t="s">
        <v>27</v>
      </c>
      <c r="C35" s="295">
        <f>F13</f>
        <v>468958.99</v>
      </c>
      <c r="D35" s="8">
        <f>C35/$C$36</f>
        <v>0.98171012488507592</v>
      </c>
      <c r="E35" s="11">
        <f>E36-E34</f>
        <v>0.96825748923511212</v>
      </c>
      <c r="G35" t="s">
        <v>7</v>
      </c>
      <c r="K35" s="11">
        <f>E26</f>
        <v>0.3</v>
      </c>
    </row>
    <row r="36" spans="2:11" x14ac:dyDescent="0.3">
      <c r="B36" s="12" t="s">
        <v>28</v>
      </c>
      <c r="C36" s="305">
        <f>SUM(C34:C35)</f>
        <v>477695.99</v>
      </c>
      <c r="D36" s="20">
        <f>C36/$C$36</f>
        <v>1</v>
      </c>
      <c r="E36" s="21">
        <f>D36</f>
        <v>1</v>
      </c>
      <c r="G36" s="12" t="s">
        <v>29</v>
      </c>
      <c r="H36" s="12"/>
      <c r="I36" s="12"/>
      <c r="J36" s="12"/>
      <c r="K36" s="24">
        <f>K33*(1+(1-K35)*K34)</f>
        <v>0.69949893831128995</v>
      </c>
    </row>
    <row r="38" spans="2:11" x14ac:dyDescent="0.3">
      <c r="B38" t="s">
        <v>32</v>
      </c>
      <c r="D38" s="22">
        <f>D34/D35</f>
        <v>1.8630626955248263E-2</v>
      </c>
      <c r="E38" s="22">
        <f>E34/E35</f>
        <v>3.2783129609421653E-2</v>
      </c>
      <c r="G38" s="13" t="s">
        <v>0</v>
      </c>
      <c r="H38" s="13"/>
      <c r="I38" s="13"/>
      <c r="J38" s="13"/>
      <c r="K38" s="13"/>
    </row>
    <row r="40" spans="2:11" ht="15" thickBot="1" x14ac:dyDescent="0.35">
      <c r="B40" s="27" t="s">
        <v>36</v>
      </c>
      <c r="J40" s="17" t="s">
        <v>34</v>
      </c>
      <c r="K40" s="17" t="s">
        <v>35</v>
      </c>
    </row>
    <row r="41" spans="2:11" x14ac:dyDescent="0.3">
      <c r="B41" s="28" t="s">
        <v>37</v>
      </c>
      <c r="G41" t="s">
        <v>33</v>
      </c>
      <c r="J41" s="11">
        <f>E27</f>
        <v>7.2590000000000002E-2</v>
      </c>
      <c r="K41" s="11">
        <f>E34</f>
        <v>3.174251076488787E-2</v>
      </c>
    </row>
    <row r="42" spans="2:11" x14ac:dyDescent="0.3">
      <c r="B42" s="28" t="s">
        <v>38</v>
      </c>
      <c r="G42" t="s">
        <v>10</v>
      </c>
      <c r="J42" s="11">
        <f>K28</f>
        <v>0.13483516445026039</v>
      </c>
      <c r="K42" s="11">
        <f>E35</f>
        <v>0.96825748923511212</v>
      </c>
    </row>
    <row r="43" spans="2:11" x14ac:dyDescent="0.3">
      <c r="B43" s="28" t="s">
        <v>39</v>
      </c>
      <c r="G43" s="119" t="s">
        <v>0</v>
      </c>
      <c r="H43" s="119"/>
      <c r="I43" s="119"/>
      <c r="J43" s="119"/>
      <c r="K43" s="120">
        <f>SUMPRODUCT(J41:J42,K41:K42)</f>
        <v>0.1328593466476358</v>
      </c>
    </row>
    <row r="44" spans="2:11" x14ac:dyDescent="0.3">
      <c r="B44" s="28" t="s">
        <v>40</v>
      </c>
    </row>
  </sheetData>
  <mergeCells count="1">
    <mergeCell ref="B2:D3"/>
  </mergeCells>
  <pageMargins left="0.7" right="0.7" top="0.75" bottom="0.75" header="0.3" footer="0.3"/>
  <pageSetup paperSize="7" orientation="portrait" r:id="rId1"/>
  <customProperties>
    <customPr name="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D2F9-3F3C-4087-825D-D8D60EC0E284}">
  <dimension ref="B2:G29"/>
  <sheetViews>
    <sheetView showGridLines="0" workbookViewId="0">
      <selection activeCell="L27" sqref="L27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5.33203125" bestFit="1" customWidth="1"/>
    <col min="4" max="4" width="9.44140625" bestFit="1" customWidth="1"/>
    <col min="5" max="5" width="13.77734375" bestFit="1" customWidth="1"/>
    <col min="6" max="6" width="10.44140625" bestFit="1" customWidth="1"/>
    <col min="7" max="7" width="8.6640625" bestFit="1" customWidth="1"/>
    <col min="14" max="14" width="5.44140625" bestFit="1" customWidth="1"/>
    <col min="15" max="15" width="15.33203125" bestFit="1" customWidth="1"/>
    <col min="16" max="16" width="7.6640625" bestFit="1" customWidth="1"/>
    <col min="17" max="17" width="13.6640625" bestFit="1" customWidth="1"/>
    <col min="18" max="18" width="10.109375" bestFit="1" customWidth="1"/>
    <col min="19" max="19" width="8.5546875" bestFit="1" customWidth="1"/>
  </cols>
  <sheetData>
    <row r="2" spans="2:7" x14ac:dyDescent="0.3">
      <c r="B2" s="69" t="s">
        <v>141</v>
      </c>
      <c r="C2" s="70" t="s">
        <v>142</v>
      </c>
      <c r="D2" s="70" t="s">
        <v>144</v>
      </c>
      <c r="E2" s="70" t="s">
        <v>145</v>
      </c>
      <c r="F2" s="70" t="s">
        <v>146</v>
      </c>
      <c r="G2" s="70" t="s">
        <v>143</v>
      </c>
    </row>
    <row r="3" spans="2:7" x14ac:dyDescent="0.3">
      <c r="B3" s="127">
        <v>1</v>
      </c>
      <c r="C3" s="7" t="s">
        <v>475</v>
      </c>
      <c r="D3" s="302">
        <v>1155.5999999999999</v>
      </c>
      <c r="E3" s="302">
        <v>468958.99</v>
      </c>
      <c r="F3" s="302">
        <v>8737</v>
      </c>
      <c r="G3" s="302">
        <v>0.1</v>
      </c>
    </row>
    <row r="4" spans="2:7" x14ac:dyDescent="0.3">
      <c r="B4" s="127">
        <v>2</v>
      </c>
      <c r="C4" s="7" t="s">
        <v>476</v>
      </c>
      <c r="D4" s="302">
        <v>2446.6</v>
      </c>
      <c r="E4" s="302">
        <v>885374.85</v>
      </c>
      <c r="F4" s="302">
        <v>11283</v>
      </c>
      <c r="G4" s="302">
        <v>0.11</v>
      </c>
    </row>
    <row r="5" spans="2:7" x14ac:dyDescent="0.3">
      <c r="B5" s="127">
        <v>3</v>
      </c>
      <c r="C5" s="7" t="s">
        <v>477</v>
      </c>
      <c r="D5" s="302">
        <v>1344.3</v>
      </c>
      <c r="E5" s="302">
        <v>364812.07</v>
      </c>
      <c r="F5" s="302">
        <v>5215</v>
      </c>
      <c r="G5" s="302">
        <v>7.0000000000000007E-2</v>
      </c>
    </row>
    <row r="6" spans="2:7" x14ac:dyDescent="0.3">
      <c r="B6" s="127">
        <v>4</v>
      </c>
      <c r="C6" s="7" t="s">
        <v>478</v>
      </c>
      <c r="D6" s="302">
        <v>183.61</v>
      </c>
      <c r="E6" s="302">
        <v>181880.46</v>
      </c>
      <c r="F6" s="302">
        <v>20291</v>
      </c>
      <c r="G6" s="302">
        <v>0.23</v>
      </c>
    </row>
    <row r="7" spans="2:7" x14ac:dyDescent="0.3">
      <c r="B7" s="127">
        <v>5</v>
      </c>
      <c r="C7" s="127" t="s">
        <v>479</v>
      </c>
      <c r="D7" s="303">
        <v>1644.2</v>
      </c>
      <c r="E7" s="303">
        <v>161201.84</v>
      </c>
      <c r="F7" s="303">
        <v>2186.1999999999998</v>
      </c>
      <c r="G7" s="303">
        <v>7.0000000000000007E-2</v>
      </c>
    </row>
    <row r="8" spans="2:7" ht="3.6" customHeight="1" x14ac:dyDescent="0.3"/>
    <row r="9" spans="2:7" x14ac:dyDescent="0.3">
      <c r="B9" s="259" t="s">
        <v>496</v>
      </c>
    </row>
    <row r="10" spans="2:7" x14ac:dyDescent="0.3">
      <c r="D10" s="45"/>
      <c r="E10" s="45"/>
      <c r="F10" s="45"/>
      <c r="G10" s="9"/>
    </row>
    <row r="11" spans="2:7" x14ac:dyDescent="0.3">
      <c r="D11" s="45"/>
      <c r="E11" s="45"/>
      <c r="F11" s="45"/>
      <c r="G11" s="9"/>
    </row>
    <row r="12" spans="2:7" x14ac:dyDescent="0.3">
      <c r="D12" s="45"/>
      <c r="E12" s="45"/>
      <c r="F12" s="45"/>
      <c r="G12" s="9"/>
    </row>
    <row r="13" spans="2:7" x14ac:dyDescent="0.3">
      <c r="D13" s="45"/>
      <c r="E13" s="45"/>
      <c r="F13" s="45"/>
      <c r="G13" s="9"/>
    </row>
    <row r="14" spans="2:7" x14ac:dyDescent="0.3">
      <c r="D14" s="45"/>
      <c r="E14" s="45"/>
      <c r="F14" s="45"/>
      <c r="G14" s="9"/>
    </row>
    <row r="15" spans="2:7" x14ac:dyDescent="0.3">
      <c r="D15" s="45"/>
      <c r="E15" s="45"/>
      <c r="F15" s="45"/>
      <c r="G15" s="9"/>
    </row>
    <row r="16" spans="2:7" x14ac:dyDescent="0.3">
      <c r="D16" s="45"/>
      <c r="E16" s="45"/>
      <c r="F16" s="45"/>
      <c r="G16" s="9"/>
    </row>
    <row r="17" spans="4:7" x14ac:dyDescent="0.3">
      <c r="D17" s="45"/>
      <c r="E17" s="45"/>
      <c r="F17" s="45"/>
      <c r="G17" s="9"/>
    </row>
    <row r="18" spans="4:7" x14ac:dyDescent="0.3">
      <c r="D18" s="45"/>
      <c r="E18" s="45"/>
      <c r="F18" s="45"/>
      <c r="G18" s="9"/>
    </row>
    <row r="19" spans="4:7" x14ac:dyDescent="0.3">
      <c r="D19" s="45"/>
      <c r="E19" s="45"/>
      <c r="F19" s="45"/>
      <c r="G19" s="9"/>
    </row>
    <row r="20" spans="4:7" x14ac:dyDescent="0.3">
      <c r="D20" s="45"/>
      <c r="E20" s="45"/>
      <c r="F20" s="45"/>
      <c r="G20" s="9"/>
    </row>
    <row r="21" spans="4:7" x14ac:dyDescent="0.3">
      <c r="D21" s="45"/>
      <c r="E21" s="45"/>
      <c r="F21" s="45"/>
      <c r="G21" s="9"/>
    </row>
    <row r="22" spans="4:7" x14ac:dyDescent="0.3">
      <c r="D22" s="45"/>
      <c r="E22" s="45"/>
      <c r="F22" s="45"/>
      <c r="G22" s="9"/>
    </row>
    <row r="23" spans="4:7" x14ac:dyDescent="0.3">
      <c r="D23" s="45"/>
      <c r="E23" s="45"/>
      <c r="F23" s="45"/>
      <c r="G23" s="9"/>
    </row>
    <row r="24" spans="4:7" x14ac:dyDescent="0.3">
      <c r="D24" s="45"/>
      <c r="E24" s="45"/>
      <c r="F24" s="45"/>
      <c r="G24" s="9"/>
    </row>
    <row r="25" spans="4:7" x14ac:dyDescent="0.3">
      <c r="D25" s="45"/>
      <c r="E25" s="45"/>
      <c r="F25" s="45"/>
      <c r="G25" s="9"/>
    </row>
    <row r="26" spans="4:7" x14ac:dyDescent="0.3">
      <c r="D26" s="45"/>
      <c r="E26" s="45"/>
      <c r="F26" s="45"/>
      <c r="G26" s="9"/>
    </row>
    <row r="27" spans="4:7" x14ac:dyDescent="0.3">
      <c r="D27" s="45"/>
      <c r="E27" s="45"/>
      <c r="F27" s="45"/>
      <c r="G27" s="9"/>
    </row>
    <row r="28" spans="4:7" x14ac:dyDescent="0.3">
      <c r="D28" s="45"/>
      <c r="E28" s="45"/>
      <c r="F28" s="45"/>
      <c r="G28" s="9"/>
    </row>
    <row r="29" spans="4:7" x14ac:dyDescent="0.3">
      <c r="D29" s="45"/>
      <c r="E29" s="45"/>
      <c r="F29" s="45"/>
      <c r="G29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15B5-77EE-4FDD-B870-29A003F90D59}">
  <dimension ref="B2:M113"/>
  <sheetViews>
    <sheetView showGridLines="0" workbookViewId="0">
      <selection activeCell="J14" sqref="J14"/>
    </sheetView>
  </sheetViews>
  <sheetFormatPr defaultRowHeight="14.4" x14ac:dyDescent="0.3"/>
  <cols>
    <col min="1" max="1" width="1.88671875" customWidth="1"/>
    <col min="2" max="2" width="13.44140625" customWidth="1"/>
    <col min="3" max="3" width="8" bestFit="1" customWidth="1"/>
    <col min="4" max="4" width="7.6640625" bestFit="1" customWidth="1"/>
    <col min="6" max="6" width="11.5546875" customWidth="1"/>
    <col min="7" max="7" width="9.109375" customWidth="1"/>
    <col min="9" max="9" width="19.88671875" customWidth="1"/>
    <col min="10" max="10" width="7" bestFit="1" customWidth="1"/>
    <col min="12" max="12" width="4.77734375" bestFit="1" customWidth="1"/>
    <col min="13" max="13" width="4.5546875" bestFit="1" customWidth="1"/>
  </cols>
  <sheetData>
    <row r="2" spans="2:13" x14ac:dyDescent="0.3">
      <c r="B2" s="259" t="s">
        <v>497</v>
      </c>
    </row>
    <row r="3" spans="2:13" ht="3.6" customHeight="1" x14ac:dyDescent="0.3"/>
    <row r="4" spans="2:13" x14ac:dyDescent="0.3">
      <c r="B4" s="30" t="s">
        <v>41</v>
      </c>
      <c r="C4" s="29"/>
      <c r="D4" s="29"/>
      <c r="E4" s="29"/>
      <c r="F4" s="29"/>
      <c r="G4" s="29"/>
      <c r="H4" s="29"/>
      <c r="I4" s="29"/>
      <c r="J4" s="29"/>
    </row>
    <row r="5" spans="2:13" ht="3.6" customHeight="1" x14ac:dyDescent="0.3">
      <c r="B5" s="29"/>
      <c r="C5" s="29"/>
      <c r="D5" s="29"/>
      <c r="E5" s="29"/>
      <c r="F5" s="29"/>
      <c r="G5" s="29"/>
      <c r="H5" s="29"/>
      <c r="I5" s="29"/>
      <c r="J5" s="29"/>
    </row>
    <row r="6" spans="2:13" x14ac:dyDescent="0.3">
      <c r="B6" s="435" t="s">
        <v>480</v>
      </c>
      <c r="C6" s="435"/>
      <c r="D6" s="435"/>
      <c r="E6" s="37"/>
      <c r="F6" s="436" t="s">
        <v>42</v>
      </c>
      <c r="G6" s="436"/>
      <c r="H6" s="29"/>
      <c r="I6" s="436" t="s">
        <v>43</v>
      </c>
      <c r="J6" s="436"/>
      <c r="M6" s="9"/>
    </row>
    <row r="7" spans="2:13" ht="3.6" customHeight="1" x14ac:dyDescent="0.3">
      <c r="B7" s="29"/>
      <c r="C7" s="29"/>
      <c r="D7" s="29"/>
      <c r="E7" s="29"/>
      <c r="F7" s="29"/>
      <c r="G7" s="29"/>
      <c r="H7" s="29"/>
      <c r="I7" s="29"/>
      <c r="J7" s="29"/>
    </row>
    <row r="8" spans="2:13" ht="13.8" customHeight="1" thickBot="1" x14ac:dyDescent="0.35">
      <c r="B8" s="47" t="s">
        <v>44</v>
      </c>
      <c r="C8" s="32" t="s">
        <v>45</v>
      </c>
      <c r="D8" s="32" t="s">
        <v>46</v>
      </c>
      <c r="E8" s="29"/>
      <c r="F8" s="32" t="s">
        <v>45</v>
      </c>
      <c r="G8" s="32" t="s">
        <v>46</v>
      </c>
      <c r="H8" s="29"/>
      <c r="I8" s="29" t="s">
        <v>47</v>
      </c>
      <c r="J8" s="38">
        <f>SLOPE(D10:D112,G10:G112)</f>
        <v>0.67533944979556459</v>
      </c>
    </row>
    <row r="9" spans="2:13" x14ac:dyDescent="0.3">
      <c r="B9" s="123" t="s">
        <v>77</v>
      </c>
      <c r="C9" s="125">
        <v>1821.2</v>
      </c>
      <c r="D9" s="15"/>
      <c r="F9" s="126">
        <v>24717.7</v>
      </c>
      <c r="I9" t="s">
        <v>48</v>
      </c>
      <c r="J9" s="121">
        <v>0.75</v>
      </c>
    </row>
    <row r="10" spans="2:13" x14ac:dyDescent="0.3">
      <c r="B10" s="123">
        <v>45390</v>
      </c>
      <c r="C10" s="125">
        <v>1770.75</v>
      </c>
      <c r="D10" s="50">
        <f>C10/C9-1</f>
        <v>-2.7701515484296113E-2</v>
      </c>
      <c r="F10" s="126">
        <v>24367.5</v>
      </c>
      <c r="G10" s="50">
        <f>F10/F9-1</f>
        <v>-1.4167984885325113E-2</v>
      </c>
    </row>
    <row r="11" spans="2:13" x14ac:dyDescent="0.3">
      <c r="B11" s="123">
        <v>45604</v>
      </c>
      <c r="C11" s="125">
        <v>1858.95</v>
      </c>
      <c r="D11" s="50">
        <f t="shared" ref="D11:D74" si="0">C11/C10-1</f>
        <v>4.9809402795425672E-2</v>
      </c>
      <c r="F11" s="126">
        <v>24541.15</v>
      </c>
      <c r="G11" s="50">
        <f t="shared" ref="G11:G74" si="1">F11/F10-1</f>
        <v>7.1262952703396998E-3</v>
      </c>
      <c r="I11" t="s">
        <v>49</v>
      </c>
      <c r="J11" s="7">
        <v>1</v>
      </c>
    </row>
    <row r="12" spans="2:13" x14ac:dyDescent="0.3">
      <c r="B12" s="123" t="s">
        <v>78</v>
      </c>
      <c r="C12" s="125">
        <v>1862.1</v>
      </c>
      <c r="D12" s="50">
        <f t="shared" si="0"/>
        <v>1.6945049624788044E-3</v>
      </c>
      <c r="F12" s="126">
        <v>24823.15</v>
      </c>
      <c r="G12" s="50">
        <f t="shared" si="1"/>
        <v>1.1490904052988471E-2</v>
      </c>
      <c r="I12" t="s">
        <v>51</v>
      </c>
      <c r="J12" s="11">
        <f>100%-J9</f>
        <v>0.25</v>
      </c>
    </row>
    <row r="13" spans="2:13" x14ac:dyDescent="0.3">
      <c r="B13" s="123" t="s">
        <v>79</v>
      </c>
      <c r="C13" s="125">
        <v>1943.7</v>
      </c>
      <c r="D13" s="50">
        <f t="shared" si="0"/>
        <v>4.3821491864024509E-2</v>
      </c>
      <c r="F13" s="126">
        <v>25235.9</v>
      </c>
      <c r="G13" s="50">
        <f t="shared" si="1"/>
        <v>1.6627623810837822E-2</v>
      </c>
    </row>
    <row r="14" spans="2:13" x14ac:dyDescent="0.3">
      <c r="B14" s="123">
        <v>45300</v>
      </c>
      <c r="C14" s="125">
        <v>1901.85</v>
      </c>
      <c r="D14" s="50">
        <f t="shared" si="0"/>
        <v>-2.1531100478468956E-2</v>
      </c>
      <c r="F14" s="126">
        <v>24852.15</v>
      </c>
      <c r="G14" s="50">
        <f t="shared" si="1"/>
        <v>-1.5206511358818231E-2</v>
      </c>
      <c r="I14" s="48" t="s">
        <v>53</v>
      </c>
      <c r="J14" s="49">
        <f>(J8*J9)+(J11*J12)</f>
        <v>0.75650458734667347</v>
      </c>
    </row>
    <row r="15" spans="2:13" x14ac:dyDescent="0.3">
      <c r="B15" s="123">
        <v>45513</v>
      </c>
      <c r="C15" s="125">
        <v>1944.1</v>
      </c>
      <c r="D15" s="50">
        <f t="shared" si="0"/>
        <v>2.2215211504587717E-2</v>
      </c>
      <c r="F15" s="126">
        <v>25356.5</v>
      </c>
      <c r="G15" s="50">
        <f t="shared" si="1"/>
        <v>2.0294018827344829E-2</v>
      </c>
    </row>
    <row r="16" spans="2:13" x14ac:dyDescent="0.3">
      <c r="B16" s="123" t="s">
        <v>80</v>
      </c>
      <c r="C16" s="125">
        <v>1905.75</v>
      </c>
      <c r="D16" s="50">
        <f t="shared" si="0"/>
        <v>-1.972635152512725E-2</v>
      </c>
      <c r="F16" s="126">
        <v>25790.95</v>
      </c>
      <c r="G16" s="50">
        <f t="shared" si="1"/>
        <v>1.7133673811448702E-2</v>
      </c>
    </row>
    <row r="17" spans="2:7" x14ac:dyDescent="0.3">
      <c r="B17" s="123" t="s">
        <v>81</v>
      </c>
      <c r="C17" s="125">
        <v>1906.75</v>
      </c>
      <c r="D17" s="50">
        <f t="shared" si="0"/>
        <v>5.2472779745516007E-4</v>
      </c>
      <c r="F17" s="126">
        <v>26178.95</v>
      </c>
      <c r="G17" s="50">
        <f t="shared" si="1"/>
        <v>1.5044036764834123E-2</v>
      </c>
    </row>
    <row r="18" spans="2:7" x14ac:dyDescent="0.3">
      <c r="B18" s="123" t="s">
        <v>82</v>
      </c>
      <c r="C18" s="125">
        <v>1918.15</v>
      </c>
      <c r="D18" s="50">
        <f t="shared" si="0"/>
        <v>5.9787596695948242E-3</v>
      </c>
      <c r="F18" s="126">
        <v>25014.6</v>
      </c>
      <c r="G18" s="50">
        <f t="shared" si="1"/>
        <v>-4.4476573735768743E-2</v>
      </c>
    </row>
    <row r="19" spans="2:7" x14ac:dyDescent="0.3">
      <c r="B19" s="123">
        <v>45453</v>
      </c>
      <c r="C19" s="125">
        <v>1935.1</v>
      </c>
      <c r="D19" s="50">
        <f t="shared" si="0"/>
        <v>8.8366394703229822E-3</v>
      </c>
      <c r="F19" s="126">
        <v>24964.25</v>
      </c>
      <c r="G19" s="50">
        <f t="shared" si="1"/>
        <v>-2.0128245104857889E-3</v>
      </c>
    </row>
    <row r="20" spans="2:7" x14ac:dyDescent="0.3">
      <c r="B20" s="123" t="s">
        <v>83</v>
      </c>
      <c r="C20" s="125">
        <v>1879.6</v>
      </c>
      <c r="D20" s="50">
        <f t="shared" si="0"/>
        <v>-2.8680688336520044E-2</v>
      </c>
      <c r="F20" s="126">
        <v>24854.05</v>
      </c>
      <c r="G20" s="50">
        <f t="shared" si="1"/>
        <v>-4.4143124668275524E-3</v>
      </c>
    </row>
    <row r="21" spans="2:7" x14ac:dyDescent="0.3">
      <c r="B21" s="123" t="s">
        <v>84</v>
      </c>
      <c r="C21" s="125">
        <v>1862.05</v>
      </c>
      <c r="D21" s="50">
        <f t="shared" si="0"/>
        <v>-9.3370929985102658E-3</v>
      </c>
      <c r="F21" s="126">
        <v>24180.799999999999</v>
      </c>
      <c r="G21" s="50">
        <f t="shared" si="1"/>
        <v>-2.7088140564616281E-2</v>
      </c>
    </row>
    <row r="22" spans="2:7" x14ac:dyDescent="0.3">
      <c r="B22" s="123" t="s">
        <v>85</v>
      </c>
      <c r="C22" s="125">
        <v>1760.85</v>
      </c>
      <c r="D22" s="50">
        <f t="shared" si="0"/>
        <v>-5.4348701699739599E-2</v>
      </c>
      <c r="F22" s="126">
        <v>24304.35</v>
      </c>
      <c r="G22" s="50">
        <f t="shared" si="1"/>
        <v>5.1094256600276999E-3</v>
      </c>
    </row>
    <row r="23" spans="2:7" x14ac:dyDescent="0.3">
      <c r="B23" s="123">
        <v>45362</v>
      </c>
      <c r="C23" s="125">
        <v>1829.95</v>
      </c>
      <c r="D23" s="50">
        <f t="shared" si="0"/>
        <v>3.9242411335434602E-2</v>
      </c>
      <c r="F23" s="126">
        <v>24148.2</v>
      </c>
      <c r="G23" s="50">
        <f t="shared" si="1"/>
        <v>-6.4247758117372822E-3</v>
      </c>
    </row>
    <row r="24" spans="2:7" x14ac:dyDescent="0.3">
      <c r="B24" s="123">
        <v>45576</v>
      </c>
      <c r="C24" s="125">
        <v>1864.55</v>
      </c>
      <c r="D24" s="50">
        <f t="shared" si="0"/>
        <v>1.8907620426787508E-2</v>
      </c>
      <c r="F24" s="126">
        <v>23532.7</v>
      </c>
      <c r="G24" s="50">
        <f t="shared" si="1"/>
        <v>-2.5488442202731498E-2</v>
      </c>
    </row>
    <row r="25" spans="2:7" x14ac:dyDescent="0.3">
      <c r="B25" s="123" t="s">
        <v>86</v>
      </c>
      <c r="C25" s="125">
        <v>1902.25</v>
      </c>
      <c r="D25" s="50">
        <f t="shared" si="0"/>
        <v>2.0219355876753164E-2</v>
      </c>
      <c r="F25" s="126">
        <v>23907.25</v>
      </c>
      <c r="G25" s="50">
        <f t="shared" si="1"/>
        <v>1.5916150717937061E-2</v>
      </c>
    </row>
    <row r="26" spans="2:7" x14ac:dyDescent="0.3">
      <c r="B26" s="123" t="s">
        <v>87</v>
      </c>
      <c r="C26" s="125">
        <v>1857.85</v>
      </c>
      <c r="D26" s="50">
        <f t="shared" si="0"/>
        <v>-2.3340780654488191E-2</v>
      </c>
      <c r="F26" s="126">
        <v>24131.1</v>
      </c>
      <c r="G26" s="50">
        <f t="shared" si="1"/>
        <v>9.3632684645870157E-3</v>
      </c>
    </row>
    <row r="27" spans="2:7" x14ac:dyDescent="0.3">
      <c r="B27" s="123">
        <v>45303</v>
      </c>
      <c r="C27" s="125">
        <v>1922.4</v>
      </c>
      <c r="D27" s="50">
        <f t="shared" si="0"/>
        <v>3.4744462685362132E-2</v>
      </c>
      <c r="F27" s="126">
        <v>24677.8</v>
      </c>
      <c r="G27" s="50">
        <f t="shared" si="1"/>
        <v>2.2655411481449228E-2</v>
      </c>
    </row>
    <row r="28" spans="2:7" x14ac:dyDescent="0.3">
      <c r="B28" s="123">
        <v>45516</v>
      </c>
      <c r="C28" s="125">
        <v>1999.7</v>
      </c>
      <c r="D28" s="50">
        <f t="shared" si="0"/>
        <v>4.0210153974198803E-2</v>
      </c>
      <c r="F28" s="126">
        <v>24768.3</v>
      </c>
      <c r="G28" s="50">
        <f t="shared" si="1"/>
        <v>3.6672636944945491E-3</v>
      </c>
    </row>
    <row r="29" spans="2:7" x14ac:dyDescent="0.3">
      <c r="B29" s="123" t="s">
        <v>88</v>
      </c>
      <c r="C29" s="125">
        <v>1922.15</v>
      </c>
      <c r="D29" s="50">
        <f t="shared" si="0"/>
        <v>-3.8780817122568312E-2</v>
      </c>
      <c r="F29" s="126">
        <v>23587.5</v>
      </c>
      <c r="G29" s="50">
        <f t="shared" si="1"/>
        <v>-4.7673841159869612E-2</v>
      </c>
    </row>
    <row r="30" spans="2:7" x14ac:dyDescent="0.3">
      <c r="B30" s="123" t="s">
        <v>89</v>
      </c>
      <c r="C30" s="125">
        <v>1916.75</v>
      </c>
      <c r="D30" s="50">
        <f t="shared" si="0"/>
        <v>-2.8093541086804397E-3</v>
      </c>
      <c r="F30" s="126">
        <v>23813.4</v>
      </c>
      <c r="G30" s="50">
        <f t="shared" si="1"/>
        <v>9.5771065182830295E-3</v>
      </c>
    </row>
    <row r="31" spans="2:7" x14ac:dyDescent="0.3">
      <c r="B31" s="123" t="s">
        <v>90</v>
      </c>
      <c r="C31" s="125">
        <v>1938.75</v>
      </c>
      <c r="D31" s="50">
        <f t="shared" si="0"/>
        <v>1.1477761836441891E-2</v>
      </c>
      <c r="F31" s="126">
        <v>24004.75</v>
      </c>
      <c r="G31" s="50">
        <f t="shared" si="1"/>
        <v>8.035391838208783E-3</v>
      </c>
    </row>
    <row r="32" spans="2:7" x14ac:dyDescent="0.3">
      <c r="B32" s="123">
        <v>45778</v>
      </c>
      <c r="C32" s="125">
        <v>1966.95</v>
      </c>
      <c r="D32" s="50">
        <f t="shared" si="0"/>
        <v>1.4545454545454639E-2</v>
      </c>
      <c r="F32" s="126">
        <v>23431.5</v>
      </c>
      <c r="G32" s="50">
        <f t="shared" si="1"/>
        <v>-2.3880690280048689E-2</v>
      </c>
    </row>
    <row r="33" spans="2:7" x14ac:dyDescent="0.3">
      <c r="B33" s="123">
        <v>45992</v>
      </c>
      <c r="C33" s="125">
        <v>1815.45</v>
      </c>
      <c r="D33" s="50">
        <f t="shared" si="0"/>
        <v>-7.7022801799740748E-2</v>
      </c>
      <c r="F33" s="126">
        <v>23203.200000000001</v>
      </c>
      <c r="G33" s="50">
        <f t="shared" si="1"/>
        <v>-9.7432942833365344E-3</v>
      </c>
    </row>
    <row r="34" spans="2:7" x14ac:dyDescent="0.3">
      <c r="B34" s="123" t="s">
        <v>91</v>
      </c>
      <c r="C34" s="125">
        <v>1875.45</v>
      </c>
      <c r="D34" s="50">
        <f t="shared" si="0"/>
        <v>3.3049657109807562E-2</v>
      </c>
      <c r="F34" s="126">
        <v>23092.2</v>
      </c>
      <c r="G34" s="50">
        <f t="shared" si="1"/>
        <v>-4.7838229209764549E-3</v>
      </c>
    </row>
    <row r="35" spans="2:7" x14ac:dyDescent="0.3">
      <c r="B35" s="123" t="s">
        <v>92</v>
      </c>
      <c r="C35" s="125">
        <v>1879.8</v>
      </c>
      <c r="D35" s="50">
        <f t="shared" si="0"/>
        <v>2.319443333599791E-3</v>
      </c>
      <c r="F35" s="126">
        <v>23508.400000000001</v>
      </c>
      <c r="G35" s="50">
        <f t="shared" si="1"/>
        <v>1.8023401841314346E-2</v>
      </c>
    </row>
    <row r="36" spans="2:7" x14ac:dyDescent="0.3">
      <c r="B36" s="123">
        <v>45690</v>
      </c>
      <c r="C36" s="125">
        <v>1903.65</v>
      </c>
      <c r="D36" s="50">
        <f t="shared" si="0"/>
        <v>1.2687519948930914E-2</v>
      </c>
      <c r="F36" s="126">
        <v>23559.95</v>
      </c>
      <c r="G36" s="50">
        <f t="shared" si="1"/>
        <v>2.1928332000475947E-3</v>
      </c>
    </row>
    <row r="37" spans="2:7" x14ac:dyDescent="0.3">
      <c r="B37" s="123">
        <v>45902</v>
      </c>
      <c r="C37" s="125">
        <v>1856.4</v>
      </c>
      <c r="D37" s="50">
        <f t="shared" si="0"/>
        <v>-2.4820739106453438E-2</v>
      </c>
      <c r="F37" s="126">
        <v>22929.25</v>
      </c>
      <c r="G37" s="50">
        <f t="shared" si="1"/>
        <v>-2.6770005878620329E-2</v>
      </c>
    </row>
    <row r="38" spans="2:7" x14ac:dyDescent="0.3">
      <c r="B38" s="123" t="s">
        <v>93</v>
      </c>
      <c r="C38" s="125">
        <v>1815</v>
      </c>
      <c r="D38" s="50">
        <f t="shared" si="0"/>
        <v>-2.2301228183581157E-2</v>
      </c>
      <c r="F38" s="126">
        <v>22795.9</v>
      </c>
      <c r="G38" s="50">
        <f t="shared" si="1"/>
        <v>-5.8157157342695331E-3</v>
      </c>
    </row>
    <row r="39" spans="2:7" x14ac:dyDescent="0.3">
      <c r="B39" s="123" t="s">
        <v>94</v>
      </c>
      <c r="C39" s="125">
        <v>1687.7</v>
      </c>
      <c r="D39" s="50">
        <f t="shared" si="0"/>
        <v>-7.0137741046831903E-2</v>
      </c>
      <c r="F39" s="126">
        <v>22124.7</v>
      </c>
      <c r="G39" s="50">
        <f t="shared" si="1"/>
        <v>-2.9443891226053842E-2</v>
      </c>
    </row>
    <row r="40" spans="2:7" x14ac:dyDescent="0.3">
      <c r="B40" s="123">
        <v>45691</v>
      </c>
      <c r="C40" s="125">
        <v>1686</v>
      </c>
      <c r="D40" s="50">
        <f t="shared" si="0"/>
        <v>-1.0072880251229543E-3</v>
      </c>
      <c r="F40" s="126">
        <v>22552.5</v>
      </c>
      <c r="G40" s="50">
        <f t="shared" si="1"/>
        <v>1.9335855401429125E-2</v>
      </c>
    </row>
    <row r="41" spans="2:7" x14ac:dyDescent="0.3">
      <c r="B41" s="123">
        <v>45903</v>
      </c>
      <c r="C41" s="125">
        <v>1579.85</v>
      </c>
      <c r="D41" s="50">
        <f t="shared" si="0"/>
        <v>-6.2959667852906298E-2</v>
      </c>
      <c r="F41" s="126">
        <v>22397.200000000001</v>
      </c>
      <c r="G41" s="50">
        <f t="shared" si="1"/>
        <v>-6.8861545283227521E-3</v>
      </c>
    </row>
    <row r="42" spans="2:7" x14ac:dyDescent="0.3">
      <c r="B42" s="123" t="s">
        <v>95</v>
      </c>
      <c r="C42" s="125">
        <v>1592.55</v>
      </c>
      <c r="D42" s="50">
        <f t="shared" si="0"/>
        <v>8.0387378548596455E-3</v>
      </c>
      <c r="F42" s="126">
        <v>23350.400000000001</v>
      </c>
      <c r="G42" s="50">
        <f t="shared" si="1"/>
        <v>4.2558891289982803E-2</v>
      </c>
    </row>
    <row r="43" spans="2:7" x14ac:dyDescent="0.3">
      <c r="B43" s="123" t="s">
        <v>96</v>
      </c>
      <c r="C43" s="125">
        <v>1570.65</v>
      </c>
      <c r="D43" s="50">
        <f t="shared" si="0"/>
        <v>-1.3751530564189429E-2</v>
      </c>
      <c r="F43" s="126">
        <v>23519.35</v>
      </c>
      <c r="G43" s="50">
        <f t="shared" si="1"/>
        <v>7.2354220912702605E-3</v>
      </c>
    </row>
    <row r="44" spans="2:7" x14ac:dyDescent="0.3">
      <c r="B44" s="123" t="s">
        <v>97</v>
      </c>
      <c r="C44" s="125">
        <v>1451.65</v>
      </c>
      <c r="D44" s="50">
        <f t="shared" si="0"/>
        <v>-7.5764810747142919E-2</v>
      </c>
      <c r="F44" s="126">
        <v>22904.45</v>
      </c>
      <c r="G44" s="50">
        <f t="shared" si="1"/>
        <v>-2.6144430011883713E-2</v>
      </c>
    </row>
    <row r="45" spans="2:7" x14ac:dyDescent="0.3">
      <c r="B45" s="123">
        <v>45812</v>
      </c>
      <c r="C45" s="125">
        <v>1409.45</v>
      </c>
      <c r="D45" s="50">
        <f t="shared" si="0"/>
        <v>-2.9070368201701502E-2</v>
      </c>
      <c r="F45" s="126">
        <v>22828.55</v>
      </c>
      <c r="G45" s="50">
        <f t="shared" si="1"/>
        <v>-3.3137665388167648E-3</v>
      </c>
    </row>
    <row r="46" spans="2:7" x14ac:dyDescent="0.3">
      <c r="B46" s="123" t="s">
        <v>98</v>
      </c>
      <c r="C46" s="125">
        <v>1419.5</v>
      </c>
      <c r="D46" s="50">
        <f t="shared" si="0"/>
        <v>7.1304409521444345E-3</v>
      </c>
      <c r="F46" s="126">
        <v>23851.65</v>
      </c>
      <c r="G46" s="50">
        <f t="shared" si="1"/>
        <v>4.4816687875489425E-2</v>
      </c>
    </row>
    <row r="47" spans="2:7" x14ac:dyDescent="0.3">
      <c r="B47" s="123" t="s">
        <v>99</v>
      </c>
      <c r="C47" s="125">
        <v>1480.2</v>
      </c>
      <c r="D47" s="50">
        <f t="shared" si="0"/>
        <v>4.2761535752025459E-2</v>
      </c>
      <c r="F47" s="126">
        <v>24039.35</v>
      </c>
      <c r="G47" s="50">
        <f t="shared" si="1"/>
        <v>7.86947653516612E-3</v>
      </c>
    </row>
    <row r="48" spans="2:7" x14ac:dyDescent="0.3">
      <c r="B48" s="123" t="s">
        <v>100</v>
      </c>
      <c r="C48" s="125">
        <v>1506.8</v>
      </c>
      <c r="D48" s="50">
        <f t="shared" si="0"/>
        <v>1.7970544521010545E-2</v>
      </c>
      <c r="F48" s="126">
        <v>24346.7</v>
      </c>
      <c r="G48" s="50">
        <f t="shared" si="1"/>
        <v>1.2785287455775673E-2</v>
      </c>
    </row>
    <row r="49" spans="2:7" x14ac:dyDescent="0.3">
      <c r="B49" s="123">
        <v>45752</v>
      </c>
      <c r="C49" s="125">
        <v>1507.6</v>
      </c>
      <c r="D49" s="50">
        <f t="shared" si="0"/>
        <v>5.3092646668440047E-4</v>
      </c>
      <c r="F49" s="126">
        <v>24008</v>
      </c>
      <c r="G49" s="50">
        <f t="shared" si="1"/>
        <v>-1.391153626569519E-2</v>
      </c>
    </row>
    <row r="50" spans="2:7" x14ac:dyDescent="0.3">
      <c r="B50" s="123">
        <v>45966</v>
      </c>
      <c r="C50" s="125">
        <v>1589.9</v>
      </c>
      <c r="D50" s="50">
        <f t="shared" si="0"/>
        <v>5.4590076943486388E-2</v>
      </c>
      <c r="F50" s="126">
        <v>25019.8</v>
      </c>
      <c r="G50" s="50">
        <f t="shared" si="1"/>
        <v>4.2144285238253865E-2</v>
      </c>
    </row>
    <row r="51" spans="2:7" x14ac:dyDescent="0.3">
      <c r="B51" s="123" t="s">
        <v>101</v>
      </c>
      <c r="C51" s="125">
        <v>1564.8</v>
      </c>
      <c r="D51" s="50">
        <f t="shared" si="0"/>
        <v>-1.5787156424932447E-2</v>
      </c>
      <c r="F51" s="126">
        <v>24853.15</v>
      </c>
      <c r="G51" s="50">
        <f t="shared" si="1"/>
        <v>-6.660724706032739E-3</v>
      </c>
    </row>
    <row r="52" spans="2:7" x14ac:dyDescent="0.3">
      <c r="B52" s="123" t="s">
        <v>102</v>
      </c>
      <c r="C52" s="125">
        <v>1562.7</v>
      </c>
      <c r="D52" s="50">
        <f t="shared" si="0"/>
        <v>-1.3420245398771957E-3</v>
      </c>
      <c r="F52" s="126">
        <v>24750.7</v>
      </c>
      <c r="G52" s="50">
        <f t="shared" si="1"/>
        <v>-4.1222138843567402E-3</v>
      </c>
    </row>
    <row r="53" spans="2:7" x14ac:dyDescent="0.3">
      <c r="B53" s="123">
        <v>45663</v>
      </c>
      <c r="C53" s="125">
        <v>1563.8</v>
      </c>
      <c r="D53" s="50">
        <f t="shared" si="0"/>
        <v>7.0390989953272864E-4</v>
      </c>
      <c r="F53" s="126">
        <v>25003.05</v>
      </c>
      <c r="G53" s="50">
        <f t="shared" si="1"/>
        <v>1.0195671233540704E-2</v>
      </c>
    </row>
    <row r="54" spans="2:7" x14ac:dyDescent="0.3">
      <c r="B54" s="123">
        <v>45875</v>
      </c>
      <c r="C54" s="125">
        <v>1602</v>
      </c>
      <c r="D54" s="50">
        <f t="shared" si="0"/>
        <v>2.4427676173423674E-2</v>
      </c>
      <c r="F54" s="126">
        <v>24718.6</v>
      </c>
      <c r="G54" s="50">
        <f t="shared" si="1"/>
        <v>-1.1376612053329516E-2</v>
      </c>
    </row>
    <row r="55" spans="2:7" x14ac:dyDescent="0.3">
      <c r="B55" s="123" t="s">
        <v>103</v>
      </c>
      <c r="C55" s="125">
        <v>1622.9</v>
      </c>
      <c r="D55" s="50">
        <f t="shared" si="0"/>
        <v>1.3046192259675404E-2</v>
      </c>
      <c r="F55" s="126">
        <v>25112.400000000001</v>
      </c>
      <c r="G55" s="50">
        <f t="shared" si="1"/>
        <v>1.5931322971365791E-2</v>
      </c>
    </row>
    <row r="56" spans="2:7" x14ac:dyDescent="0.3">
      <c r="B56" s="123" t="s">
        <v>104</v>
      </c>
      <c r="C56" s="125">
        <v>1608</v>
      </c>
      <c r="D56" s="50">
        <f t="shared" si="0"/>
        <v>-9.1810955696592922E-3</v>
      </c>
      <c r="F56" s="126">
        <v>25637.8</v>
      </c>
      <c r="G56" s="50">
        <f t="shared" si="1"/>
        <v>2.092193498032846E-2</v>
      </c>
    </row>
    <row r="57" spans="2:7" x14ac:dyDescent="0.3">
      <c r="B57" s="123" t="s">
        <v>105</v>
      </c>
      <c r="C57" s="125">
        <v>1640.7</v>
      </c>
      <c r="D57" s="50">
        <f t="shared" si="0"/>
        <v>2.0335820895522438E-2</v>
      </c>
      <c r="F57" s="126">
        <v>25461</v>
      </c>
      <c r="G57" s="50">
        <f t="shared" si="1"/>
        <v>-6.8960675252947023E-3</v>
      </c>
    </row>
    <row r="58" spans="2:7" x14ac:dyDescent="0.3">
      <c r="B58" s="123">
        <v>45815</v>
      </c>
      <c r="C58" s="125">
        <v>1594.9</v>
      </c>
      <c r="D58" s="50">
        <f t="shared" si="0"/>
        <v>-2.7914914365819388E-2</v>
      </c>
      <c r="F58" s="126">
        <v>25149.85</v>
      </c>
      <c r="G58" s="50">
        <f t="shared" si="1"/>
        <v>-1.2220651192019205E-2</v>
      </c>
    </row>
    <row r="59" spans="2:7" x14ac:dyDescent="0.3">
      <c r="B59" s="123" t="s">
        <v>106</v>
      </c>
      <c r="C59" s="125">
        <v>1586.1</v>
      </c>
      <c r="D59" s="50">
        <f t="shared" si="0"/>
        <v>-5.5175873095493211E-3</v>
      </c>
      <c r="F59" s="126">
        <v>24968.400000000001</v>
      </c>
      <c r="G59" s="50">
        <f t="shared" si="1"/>
        <v>-7.214754759968578E-3</v>
      </c>
    </row>
    <row r="60" spans="2:7" x14ac:dyDescent="0.3">
      <c r="B60" s="123" t="s">
        <v>107</v>
      </c>
      <c r="C60" s="125">
        <v>1515.7</v>
      </c>
      <c r="D60" s="50">
        <f t="shared" si="0"/>
        <v>-4.4385599899123607E-2</v>
      </c>
      <c r="F60" s="126">
        <v>24837</v>
      </c>
      <c r="G60" s="50">
        <f t="shared" si="1"/>
        <v>-5.2626519921180615E-3</v>
      </c>
    </row>
    <row r="61" spans="2:7" x14ac:dyDescent="0.3">
      <c r="B61" s="123" t="s">
        <v>108</v>
      </c>
      <c r="C61" s="125">
        <v>1469.6</v>
      </c>
      <c r="D61" s="50">
        <f t="shared" si="0"/>
        <v>-3.041498977370205E-2</v>
      </c>
      <c r="F61" s="126">
        <v>24565.35</v>
      </c>
      <c r="G61" s="50">
        <f t="shared" si="1"/>
        <v>-1.0937311269477057E-2</v>
      </c>
    </row>
    <row r="62" spans="2:7" x14ac:dyDescent="0.3">
      <c r="B62" s="123">
        <v>45724</v>
      </c>
      <c r="C62" s="125">
        <v>1423.1</v>
      </c>
      <c r="D62" s="50">
        <f t="shared" si="0"/>
        <v>-3.1641262928688074E-2</v>
      </c>
      <c r="F62" s="126">
        <v>24363.3</v>
      </c>
      <c r="G62" s="50">
        <f t="shared" si="1"/>
        <v>-8.2249998473459263E-3</v>
      </c>
    </row>
    <row r="63" spans="2:7" x14ac:dyDescent="0.3">
      <c r="B63" s="123">
        <v>45938</v>
      </c>
      <c r="C63" s="125">
        <v>1447.7</v>
      </c>
      <c r="D63" s="50">
        <f t="shared" si="0"/>
        <v>1.7286206169629725E-2</v>
      </c>
      <c r="F63" s="126">
        <v>24631.3</v>
      </c>
      <c r="G63" s="50">
        <f t="shared" si="1"/>
        <v>1.100015186776826E-2</v>
      </c>
    </row>
    <row r="64" spans="2:7" x14ac:dyDescent="0.3">
      <c r="B64" s="123" t="s">
        <v>109</v>
      </c>
      <c r="C64" s="125">
        <v>1487.5</v>
      </c>
      <c r="D64" s="50">
        <f t="shared" si="0"/>
        <v>2.7491883677557505E-2</v>
      </c>
      <c r="F64" s="126">
        <v>24870.1</v>
      </c>
      <c r="G64" s="50">
        <f t="shared" si="1"/>
        <v>9.6949815884666002E-3</v>
      </c>
    </row>
    <row r="65" spans="2:7" x14ac:dyDescent="0.3">
      <c r="B65" s="123" t="s">
        <v>110</v>
      </c>
      <c r="C65" s="125">
        <v>1469.6</v>
      </c>
      <c r="D65" s="50">
        <f t="shared" si="0"/>
        <v>-1.2033613445378233E-2</v>
      </c>
      <c r="F65" s="126">
        <v>24426.85</v>
      </c>
      <c r="G65" s="50">
        <f t="shared" si="1"/>
        <v>-1.7822606262138052E-2</v>
      </c>
    </row>
    <row r="66" spans="2:7" x14ac:dyDescent="0.3">
      <c r="B66" s="123" t="s">
        <v>111</v>
      </c>
      <c r="C66" s="125">
        <v>1444.6</v>
      </c>
      <c r="D66" s="50">
        <f t="shared" si="0"/>
        <v>-1.7011431682090405E-2</v>
      </c>
      <c r="F66" s="126">
        <v>24741</v>
      </c>
      <c r="G66" s="50">
        <f t="shared" si="1"/>
        <v>1.2860847796584585E-2</v>
      </c>
    </row>
    <row r="67" spans="2:7" x14ac:dyDescent="0.3">
      <c r="B67" s="123">
        <v>45847</v>
      </c>
      <c r="C67" s="125">
        <v>1525.6</v>
      </c>
      <c r="D67" s="50">
        <f t="shared" si="0"/>
        <v>5.6070884673958155E-2</v>
      </c>
      <c r="F67" s="126">
        <v>25114</v>
      </c>
      <c r="G67" s="50">
        <f t="shared" si="1"/>
        <v>1.5076189321369338E-2</v>
      </c>
    </row>
    <row r="68" spans="2:7" x14ac:dyDescent="0.3">
      <c r="B68" s="123" t="s">
        <v>112</v>
      </c>
      <c r="C68" s="125">
        <v>1540.2</v>
      </c>
      <c r="D68" s="50">
        <f t="shared" si="0"/>
        <v>9.570005243838553E-3</v>
      </c>
      <c r="F68" s="126">
        <v>25327.05</v>
      </c>
      <c r="G68" s="50">
        <f t="shared" si="1"/>
        <v>8.4833160786812467E-3</v>
      </c>
    </row>
    <row r="69" spans="2:7" x14ac:dyDescent="0.3">
      <c r="B69" s="123" t="s">
        <v>113</v>
      </c>
      <c r="C69" s="125">
        <v>1448.9</v>
      </c>
      <c r="D69" s="50">
        <f t="shared" si="0"/>
        <v>-5.9278015842098353E-2</v>
      </c>
      <c r="F69" s="126">
        <v>24654.7</v>
      </c>
      <c r="G69" s="50">
        <f t="shared" si="1"/>
        <v>-2.6546715863079107E-2</v>
      </c>
    </row>
    <row r="70" spans="2:7" x14ac:dyDescent="0.3">
      <c r="B70" s="123" t="s">
        <v>114</v>
      </c>
      <c r="C70" s="125">
        <v>1446.6</v>
      </c>
      <c r="D70" s="50">
        <f t="shared" si="0"/>
        <v>-1.5874111394852397E-3</v>
      </c>
      <c r="F70" s="126">
        <v>24894.25</v>
      </c>
      <c r="G70" s="50">
        <f t="shared" si="1"/>
        <v>9.7162001565624934E-3</v>
      </c>
    </row>
    <row r="71" spans="2:7" x14ac:dyDescent="0.3">
      <c r="B71" s="123">
        <v>45787</v>
      </c>
      <c r="C71" s="125">
        <v>1514.9</v>
      </c>
      <c r="D71" s="50">
        <f t="shared" si="0"/>
        <v>4.7214157334439566E-2</v>
      </c>
      <c r="F71" s="126">
        <v>25285.35</v>
      </c>
      <c r="G71" s="50">
        <f t="shared" si="1"/>
        <v>1.5710455225604214E-2</v>
      </c>
    </row>
    <row r="72" spans="2:7" x14ac:dyDescent="0.3">
      <c r="B72" s="123">
        <v>46001</v>
      </c>
      <c r="C72" s="125">
        <v>1441.1</v>
      </c>
      <c r="D72" s="50">
        <f t="shared" si="0"/>
        <v>-4.8716086870420616E-2</v>
      </c>
      <c r="F72" s="126">
        <v>25709.85</v>
      </c>
      <c r="G72" s="50">
        <f t="shared" si="1"/>
        <v>1.6788377459675319E-2</v>
      </c>
    </row>
    <row r="73" spans="2:7" x14ac:dyDescent="0.3">
      <c r="B73" s="123" t="s">
        <v>115</v>
      </c>
      <c r="C73" s="125">
        <v>1525.4</v>
      </c>
      <c r="D73" s="50">
        <f t="shared" si="0"/>
        <v>5.8496981472486498E-2</v>
      </c>
      <c r="F73" s="126">
        <v>25795.15</v>
      </c>
      <c r="G73" s="50">
        <f t="shared" si="1"/>
        <v>3.3177945417808274E-3</v>
      </c>
    </row>
    <row r="74" spans="2:7" x14ac:dyDescent="0.3">
      <c r="B74" s="123" t="s">
        <v>116</v>
      </c>
      <c r="C74" s="125">
        <v>1482.3</v>
      </c>
      <c r="D74" s="50">
        <f t="shared" si="0"/>
        <v>-2.8254883964861754E-2</v>
      </c>
      <c r="F74" s="126">
        <v>25722.1</v>
      </c>
      <c r="G74" s="50">
        <f t="shared" si="1"/>
        <v>-2.8319277073404203E-3</v>
      </c>
    </row>
    <row r="75" spans="2:7" x14ac:dyDescent="0.3">
      <c r="B75" s="123">
        <v>45699</v>
      </c>
      <c r="C75" s="125">
        <v>1476.8</v>
      </c>
      <c r="D75" s="50">
        <f t="shared" ref="D75:D112" si="2">C75/C74-1</f>
        <v>-3.7104499763880305E-3</v>
      </c>
      <c r="F75" s="126">
        <v>25492.3</v>
      </c>
      <c r="G75" s="50">
        <f t="shared" ref="G75:G112" si="3">F75/F74-1</f>
        <v>-8.9339517379996014E-3</v>
      </c>
    </row>
    <row r="76" spans="2:7" x14ac:dyDescent="0.3">
      <c r="B76" s="123">
        <v>45911</v>
      </c>
      <c r="C76" s="125">
        <v>1502.8</v>
      </c>
      <c r="D76" s="50">
        <f t="shared" si="2"/>
        <v>1.7605633802816989E-2</v>
      </c>
      <c r="F76" s="126">
        <v>25910.05</v>
      </c>
      <c r="G76" s="50">
        <f t="shared" si="3"/>
        <v>1.6387301263518728E-2</v>
      </c>
    </row>
    <row r="77" spans="2:7" x14ac:dyDescent="0.3">
      <c r="B77" s="123" t="s">
        <v>117</v>
      </c>
      <c r="C77" s="125">
        <v>1545</v>
      </c>
      <c r="D77" s="50">
        <f t="shared" si="2"/>
        <v>2.8080915624168146E-2</v>
      </c>
      <c r="F77" s="126">
        <v>26068.15</v>
      </c>
      <c r="G77" s="50">
        <f t="shared" si="3"/>
        <v>6.1018793865701415E-3</v>
      </c>
    </row>
    <row r="78" spans="2:7" x14ac:dyDescent="0.3">
      <c r="B78" s="123" t="s">
        <v>118</v>
      </c>
      <c r="C78" s="125">
        <v>1560.1</v>
      </c>
      <c r="D78" s="50">
        <f t="shared" si="2"/>
        <v>9.7734627831713716E-3</v>
      </c>
      <c r="F78" s="126">
        <v>26202.95</v>
      </c>
      <c r="G78" s="50">
        <f t="shared" si="3"/>
        <v>5.1710612375637233E-3</v>
      </c>
    </row>
    <row r="79" spans="2:7" x14ac:dyDescent="0.3">
      <c r="B79" s="123" t="s">
        <v>119</v>
      </c>
      <c r="C79" s="125">
        <v>1616.2</v>
      </c>
      <c r="D79" s="50">
        <f t="shared" si="2"/>
        <v>3.5959233382475642E-2</v>
      </c>
      <c r="F79" s="126">
        <v>26186.45</v>
      </c>
      <c r="G79" s="50">
        <f t="shared" si="3"/>
        <v>-6.297000910202577E-4</v>
      </c>
    </row>
    <row r="80" spans="2:7" x14ac:dyDescent="0.3">
      <c r="B80" s="123">
        <v>45850</v>
      </c>
      <c r="C80" s="125">
        <v>1598.2</v>
      </c>
      <c r="D80" s="50">
        <f t="shared" si="2"/>
        <v>-1.1137235490657149E-2</v>
      </c>
      <c r="F80" s="126">
        <v>26046.95</v>
      </c>
      <c r="G80" s="50">
        <f t="shared" si="3"/>
        <v>-5.3271825696113995E-3</v>
      </c>
    </row>
    <row r="81" spans="2:7" x14ac:dyDescent="0.3">
      <c r="B81" s="123" t="s">
        <v>120</v>
      </c>
      <c r="C81" s="125">
        <v>1638.7</v>
      </c>
      <c r="D81" s="50">
        <f t="shared" si="2"/>
        <v>2.5341008634714113E-2</v>
      </c>
      <c r="F81" s="126">
        <v>25966.400000000001</v>
      </c>
      <c r="G81" s="50">
        <f t="shared" si="3"/>
        <v>-3.0924925951022475E-3</v>
      </c>
    </row>
    <row r="82" spans="2:7" x14ac:dyDescent="0.3">
      <c r="B82" s="123" t="s">
        <v>121</v>
      </c>
      <c r="C82" s="125">
        <v>1656.1</v>
      </c>
      <c r="D82" s="50">
        <f t="shared" si="2"/>
        <v>1.0618172941966098E-2</v>
      </c>
      <c r="F82" s="126">
        <v>26042.3</v>
      </c>
      <c r="G82" s="50">
        <f t="shared" si="3"/>
        <v>2.9230081952060782E-3</v>
      </c>
    </row>
    <row r="83" spans="2:7" x14ac:dyDescent="0.3">
      <c r="B83" s="123" t="s">
        <v>122</v>
      </c>
      <c r="C83" s="125">
        <v>1640.4</v>
      </c>
      <c r="D83" s="50">
        <f t="shared" si="2"/>
        <v>-9.4801038584625408E-3</v>
      </c>
      <c r="F83" s="126">
        <v>26328.55</v>
      </c>
      <c r="G83" s="50">
        <f t="shared" si="3"/>
        <v>1.0991732681061128E-2</v>
      </c>
    </row>
    <row r="84" spans="2:7" x14ac:dyDescent="0.3">
      <c r="B84" s="123">
        <v>46113</v>
      </c>
      <c r="C84" s="125">
        <v>1614.1</v>
      </c>
      <c r="D84" s="50">
        <f t="shared" si="2"/>
        <v>-1.6032674957327631E-2</v>
      </c>
      <c r="F84" s="126">
        <v>25683.3</v>
      </c>
      <c r="G84" s="50">
        <f t="shared" si="3"/>
        <v>-2.4507616256877029E-2</v>
      </c>
    </row>
    <row r="85" spans="2:7" x14ac:dyDescent="0.3">
      <c r="B85" s="123">
        <v>46327</v>
      </c>
      <c r="C85" s="125">
        <v>1689.8</v>
      </c>
      <c r="D85" s="50">
        <f t="shared" si="2"/>
        <v>4.6899200793011575E-2</v>
      </c>
      <c r="F85" s="126">
        <v>25694.35</v>
      </c>
      <c r="G85" s="50">
        <f t="shared" si="3"/>
        <v>4.3024066222008273E-4</v>
      </c>
    </row>
    <row r="86" spans="2:7" x14ac:dyDescent="0.3">
      <c r="B86" s="123" t="s">
        <v>123</v>
      </c>
      <c r="C86" s="125">
        <v>1670.8</v>
      </c>
      <c r="D86" s="50">
        <f t="shared" si="2"/>
        <v>-1.1243934193395644E-2</v>
      </c>
      <c r="F86" s="126">
        <v>25048.65</v>
      </c>
      <c r="G86" s="50">
        <f t="shared" si="3"/>
        <v>-2.5130038315816394E-2</v>
      </c>
    </row>
    <row r="87" spans="2:7" x14ac:dyDescent="0.3">
      <c r="B87" s="123" t="s">
        <v>124</v>
      </c>
      <c r="C87" s="125">
        <v>1641</v>
      </c>
      <c r="D87" s="50">
        <f t="shared" si="2"/>
        <v>-1.7835767297103122E-2</v>
      </c>
      <c r="F87" s="126">
        <v>25320.65</v>
      </c>
      <c r="G87" s="50">
        <f t="shared" si="3"/>
        <v>1.0858868641623332E-2</v>
      </c>
    </row>
    <row r="88" spans="2:7" x14ac:dyDescent="0.3">
      <c r="B88" s="123">
        <v>46024</v>
      </c>
      <c r="C88" s="125">
        <v>1507.1</v>
      </c>
      <c r="D88" s="50">
        <f t="shared" si="2"/>
        <v>-8.1596587446678859E-2</v>
      </c>
      <c r="F88" s="126">
        <v>25693.7</v>
      </c>
      <c r="G88" s="50">
        <f t="shared" si="3"/>
        <v>1.4733034104574605E-2</v>
      </c>
    </row>
    <row r="89" spans="2:7" x14ac:dyDescent="0.3">
      <c r="B89" s="123">
        <v>46236</v>
      </c>
      <c r="C89" s="125">
        <v>1369.1</v>
      </c>
      <c r="D89" s="50">
        <f t="shared" si="2"/>
        <v>-9.1566584831796138E-2</v>
      </c>
      <c r="F89" s="126">
        <v>25471.1</v>
      </c>
      <c r="G89" s="50">
        <f t="shared" si="3"/>
        <v>-8.6636023616685209E-3</v>
      </c>
    </row>
    <row r="90" spans="2:7" x14ac:dyDescent="0.3">
      <c r="B90" s="123" t="s">
        <v>125</v>
      </c>
      <c r="C90" s="125">
        <v>1353.2</v>
      </c>
      <c r="D90" s="50">
        <f t="shared" si="2"/>
        <v>-1.161346870206692E-2</v>
      </c>
      <c r="F90" s="126">
        <v>25571.25</v>
      </c>
      <c r="G90" s="50">
        <f t="shared" si="3"/>
        <v>3.9319071418195684E-3</v>
      </c>
    </row>
    <row r="91" spans="2:7" x14ac:dyDescent="0.3">
      <c r="B91" s="123" t="s">
        <v>126</v>
      </c>
      <c r="C91" s="125">
        <v>1300.0999999999999</v>
      </c>
      <c r="D91" s="50">
        <f t="shared" si="2"/>
        <v>-3.9240319243275312E-2</v>
      </c>
      <c r="F91" s="126">
        <v>25178.65</v>
      </c>
      <c r="G91" s="50">
        <f t="shared" si="3"/>
        <v>-1.5353179840641329E-2</v>
      </c>
    </row>
    <row r="92" spans="2:7" x14ac:dyDescent="0.3">
      <c r="B92" s="123">
        <v>46025</v>
      </c>
      <c r="C92" s="125">
        <v>1308.4000000000001</v>
      </c>
      <c r="D92" s="50">
        <f t="shared" si="2"/>
        <v>6.3841242981310664E-3</v>
      </c>
      <c r="F92" s="126">
        <v>24450.45</v>
      </c>
      <c r="G92" s="50">
        <f t="shared" si="3"/>
        <v>-2.892132818876314E-2</v>
      </c>
    </row>
    <row r="93" spans="2:7" x14ac:dyDescent="0.3">
      <c r="B93" s="123">
        <v>46237</v>
      </c>
      <c r="C93" s="125">
        <v>1248.3</v>
      </c>
      <c r="D93" s="50">
        <f t="shared" si="2"/>
        <v>-4.5933965148272748E-2</v>
      </c>
      <c r="F93" s="126">
        <v>23151.1</v>
      </c>
      <c r="G93" s="50">
        <f t="shared" si="3"/>
        <v>-5.3142171207482991E-2</v>
      </c>
    </row>
    <row r="94" spans="2:7" x14ac:dyDescent="0.3">
      <c r="B94" s="123" t="s">
        <v>127</v>
      </c>
      <c r="C94" s="125">
        <v>1255.9000000000001</v>
      </c>
      <c r="D94" s="50">
        <f t="shared" si="2"/>
        <v>6.0882800608828003E-3</v>
      </c>
      <c r="F94" s="126">
        <v>23114.5</v>
      </c>
      <c r="G94" s="50">
        <f t="shared" si="3"/>
        <v>-1.5809184012853805E-3</v>
      </c>
    </row>
    <row r="95" spans="2:7" x14ac:dyDescent="0.3">
      <c r="B95" s="123" t="s">
        <v>128</v>
      </c>
      <c r="C95" s="125">
        <v>1269.7</v>
      </c>
      <c r="D95" s="50">
        <f t="shared" si="2"/>
        <v>1.098813599808901E-2</v>
      </c>
      <c r="F95" s="126">
        <v>22819.599999999999</v>
      </c>
      <c r="G95" s="50">
        <f t="shared" si="3"/>
        <v>-1.275822535637805E-2</v>
      </c>
    </row>
    <row r="96" spans="2:7" x14ac:dyDescent="0.3">
      <c r="B96" s="123" t="s">
        <v>129</v>
      </c>
      <c r="C96" s="125">
        <v>1300.8</v>
      </c>
      <c r="D96" s="50">
        <f t="shared" si="2"/>
        <v>2.4493974954713726E-2</v>
      </c>
      <c r="F96" s="126">
        <v>22713.1</v>
      </c>
      <c r="G96" s="50">
        <f t="shared" si="3"/>
        <v>-4.6670406142088616E-3</v>
      </c>
    </row>
    <row r="97" spans="2:7" x14ac:dyDescent="0.3">
      <c r="B97" s="123">
        <v>46146</v>
      </c>
      <c r="C97" s="125">
        <v>1292.5</v>
      </c>
      <c r="D97" s="50">
        <f t="shared" si="2"/>
        <v>-6.3806888068880241E-3</v>
      </c>
      <c r="F97" s="126">
        <v>24050.6</v>
      </c>
      <c r="G97" s="50">
        <f t="shared" si="3"/>
        <v>5.8886721759689342E-2</v>
      </c>
    </row>
    <row r="98" spans="2:7" x14ac:dyDescent="0.3">
      <c r="B98" s="123">
        <v>46360</v>
      </c>
      <c r="C98" s="125">
        <v>1318.7</v>
      </c>
      <c r="D98" s="50">
        <f t="shared" si="2"/>
        <v>2.0270793036750501E-2</v>
      </c>
      <c r="F98" s="126">
        <v>24353.55</v>
      </c>
      <c r="G98" s="50">
        <f t="shared" si="3"/>
        <v>1.2596359342386565E-2</v>
      </c>
    </row>
    <row r="99" spans="2:7" x14ac:dyDescent="0.3">
      <c r="B99" s="123" t="s">
        <v>130</v>
      </c>
      <c r="C99" s="125">
        <v>1154.5999999999999</v>
      </c>
      <c r="D99" s="50">
        <f t="shared" si="2"/>
        <v>-0.12444073708955805</v>
      </c>
      <c r="F99" s="126">
        <v>23897.95</v>
      </c>
      <c r="G99" s="50">
        <f t="shared" si="3"/>
        <v>-1.8707744866764742E-2</v>
      </c>
    </row>
    <row r="100" spans="2:7" x14ac:dyDescent="0.3">
      <c r="B100" s="123" t="s">
        <v>131</v>
      </c>
      <c r="C100" s="125">
        <v>1181.8</v>
      </c>
      <c r="D100" s="50">
        <f t="shared" si="2"/>
        <v>2.3557942144465605E-2</v>
      </c>
      <c r="F100" s="126">
        <v>23997.55</v>
      </c>
      <c r="G100" s="50">
        <f t="shared" si="3"/>
        <v>4.167721499124255E-3</v>
      </c>
    </row>
    <row r="101" spans="2:7" x14ac:dyDescent="0.3">
      <c r="B101" s="123">
        <v>46086</v>
      </c>
      <c r="C101" s="125">
        <v>1179.2</v>
      </c>
      <c r="D101" s="50">
        <f t="shared" si="2"/>
        <v>-2.2000338466744429E-3</v>
      </c>
      <c r="F101" s="126">
        <v>24176.15</v>
      </c>
      <c r="G101" s="50">
        <f t="shared" si="3"/>
        <v>7.4424264143633234E-3</v>
      </c>
    </row>
    <row r="102" spans="2:7" x14ac:dyDescent="0.3">
      <c r="B102" s="123">
        <v>46300</v>
      </c>
      <c r="C102" s="125">
        <v>1119</v>
      </c>
      <c r="D102" s="50">
        <f t="shared" si="2"/>
        <v>-5.1051560379918648E-2</v>
      </c>
      <c r="F102" s="126">
        <v>23643.5</v>
      </c>
      <c r="G102" s="50">
        <f t="shared" si="3"/>
        <v>-2.2032043977225579E-2</v>
      </c>
    </row>
    <row r="103" spans="2:7" x14ac:dyDescent="0.3">
      <c r="B103" s="123" t="s">
        <v>132</v>
      </c>
      <c r="C103" s="125">
        <v>1174.5</v>
      </c>
      <c r="D103" s="50">
        <f t="shared" si="2"/>
        <v>4.959785522788196E-2</v>
      </c>
      <c r="F103" s="126">
        <v>23719.3</v>
      </c>
      <c r="G103" s="50">
        <f t="shared" si="3"/>
        <v>3.2059551250871454E-3</v>
      </c>
    </row>
    <row r="104" spans="2:7" x14ac:dyDescent="0.3">
      <c r="B104" s="123" t="s">
        <v>133</v>
      </c>
      <c r="C104" s="125">
        <v>1160.9000000000001</v>
      </c>
      <c r="D104" s="50">
        <f t="shared" si="2"/>
        <v>-1.1579395487441357E-2</v>
      </c>
      <c r="F104" s="126">
        <v>23547.75</v>
      </c>
      <c r="G104" s="50">
        <f t="shared" si="3"/>
        <v>-7.2325068615008981E-3</v>
      </c>
    </row>
    <row r="105" spans="2:7" x14ac:dyDescent="0.3">
      <c r="B105" s="123" t="s">
        <v>134</v>
      </c>
      <c r="C105" s="125">
        <v>1197.5</v>
      </c>
      <c r="D105" s="50">
        <f t="shared" si="2"/>
        <v>3.1527263330174859E-2</v>
      </c>
      <c r="F105" s="126">
        <v>23366.7</v>
      </c>
      <c r="G105" s="50">
        <f t="shared" si="3"/>
        <v>-7.6886326719113329E-3</v>
      </c>
    </row>
    <row r="106" spans="2:7" x14ac:dyDescent="0.3">
      <c r="B106" s="123">
        <v>46209</v>
      </c>
      <c r="C106" s="125">
        <v>1116.4000000000001</v>
      </c>
      <c r="D106" s="50">
        <f t="shared" si="2"/>
        <v>-6.7724425887265016E-2</v>
      </c>
      <c r="F106" s="126">
        <v>23622.9</v>
      </c>
      <c r="G106" s="50">
        <f t="shared" si="3"/>
        <v>1.0964321020940027E-2</v>
      </c>
    </row>
    <row r="107" spans="2:7" x14ac:dyDescent="0.3">
      <c r="B107" s="123" t="s">
        <v>135</v>
      </c>
      <c r="C107" s="125">
        <v>1051.4000000000001</v>
      </c>
      <c r="D107" s="50">
        <f t="shared" si="2"/>
        <v>-5.8222859190254383E-2</v>
      </c>
      <c r="F107" s="126">
        <v>24013.1</v>
      </c>
      <c r="G107" s="50">
        <f t="shared" si="3"/>
        <v>1.6517870371546062E-2</v>
      </c>
    </row>
    <row r="108" spans="2:7" x14ac:dyDescent="0.3">
      <c r="B108" s="123" t="s">
        <v>136</v>
      </c>
      <c r="C108" s="125">
        <v>1041.2</v>
      </c>
      <c r="D108" s="50">
        <f t="shared" si="2"/>
        <v>-9.7013505801788469E-3</v>
      </c>
      <c r="F108" s="126">
        <v>24056</v>
      </c>
      <c r="G108" s="50">
        <f t="shared" si="3"/>
        <v>1.7865248551833801E-3</v>
      </c>
    </row>
    <row r="109" spans="2:7" x14ac:dyDescent="0.3">
      <c r="B109" s="123" t="s">
        <v>137</v>
      </c>
      <c r="C109" s="125">
        <v>1047.2</v>
      </c>
      <c r="D109" s="50">
        <f t="shared" si="2"/>
        <v>5.7625816365731719E-3</v>
      </c>
      <c r="F109" s="126">
        <v>24270.85</v>
      </c>
      <c r="G109" s="50">
        <f t="shared" si="3"/>
        <v>8.9312437645492349E-3</v>
      </c>
    </row>
    <row r="110" spans="2:7" x14ac:dyDescent="0.3">
      <c r="B110" s="123">
        <v>46149</v>
      </c>
      <c r="C110" s="125">
        <v>1068</v>
      </c>
      <c r="D110" s="50">
        <f t="shared" si="2"/>
        <v>1.9862490450725634E-2</v>
      </c>
      <c r="F110" s="126">
        <v>24206.9</v>
      </c>
      <c r="G110" s="50">
        <f t="shared" si="3"/>
        <v>-2.6348479760699428E-3</v>
      </c>
    </row>
    <row r="111" spans="2:7" x14ac:dyDescent="0.3">
      <c r="B111" s="123">
        <v>46363</v>
      </c>
      <c r="C111" s="125">
        <v>1096.5</v>
      </c>
      <c r="D111" s="50">
        <f t="shared" si="2"/>
        <v>2.6685393258427004E-2</v>
      </c>
      <c r="F111" s="126">
        <v>24334.3</v>
      </c>
      <c r="G111" s="50">
        <f t="shared" si="3"/>
        <v>5.262962213253175E-3</v>
      </c>
    </row>
    <row r="112" spans="2:7" x14ac:dyDescent="0.3">
      <c r="B112" s="123" t="s">
        <v>138</v>
      </c>
      <c r="C112" s="125">
        <v>1040.9000000000001</v>
      </c>
      <c r="D112" s="50">
        <f t="shared" si="2"/>
        <v>-5.0706794345645179E-2</v>
      </c>
      <c r="F112" s="126">
        <v>23767.45</v>
      </c>
      <c r="G112" s="50">
        <f t="shared" si="3"/>
        <v>-2.3294280090242925E-2</v>
      </c>
    </row>
    <row r="113" spans="3:3" x14ac:dyDescent="0.3">
      <c r="C113" s="33"/>
    </row>
  </sheetData>
  <mergeCells count="3">
    <mergeCell ref="B6:D6"/>
    <mergeCell ref="F6:G6"/>
    <mergeCell ref="I6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98FC-651C-404C-B81F-E2758A624DA0}">
  <dimension ref="B2:U120"/>
  <sheetViews>
    <sheetView showGridLines="0" workbookViewId="0">
      <selection activeCell="J18" sqref="J18"/>
    </sheetView>
  </sheetViews>
  <sheetFormatPr defaultRowHeight="14.4" x14ac:dyDescent="0.3"/>
  <cols>
    <col min="1" max="1" width="1.88671875" customWidth="1"/>
    <col min="2" max="2" width="10.5546875" bestFit="1" customWidth="1"/>
    <col min="3" max="3" width="11.5546875" bestFit="1" customWidth="1"/>
    <col min="4" max="4" width="7.6640625" bestFit="1" customWidth="1"/>
    <col min="6" max="6" width="11.5546875" bestFit="1" customWidth="1"/>
    <col min="7" max="7" width="6.6640625" bestFit="1" customWidth="1"/>
    <col min="9" max="9" width="15.77734375" bestFit="1" customWidth="1"/>
    <col min="10" max="10" width="9" bestFit="1" customWidth="1"/>
    <col min="12" max="12" width="17.44140625" bestFit="1" customWidth="1"/>
    <col min="13" max="13" width="12" bestFit="1" customWidth="1"/>
    <col min="14" max="14" width="13.44140625" bestFit="1" customWidth="1"/>
    <col min="15" max="16" width="12" bestFit="1" customWidth="1"/>
    <col min="17" max="17" width="12.6640625" bestFit="1" customWidth="1"/>
    <col min="18" max="18" width="12" bestFit="1" customWidth="1"/>
    <col min="19" max="19" width="12.6640625" bestFit="1" customWidth="1"/>
    <col min="20" max="20" width="12.109375" bestFit="1" customWidth="1"/>
  </cols>
  <sheetData>
    <row r="2" spans="2:21" x14ac:dyDescent="0.3">
      <c r="B2" s="259" t="s">
        <v>497</v>
      </c>
    </row>
    <row r="3" spans="2:21" ht="3" customHeight="1" x14ac:dyDescent="0.3"/>
    <row r="4" spans="2:21" x14ac:dyDescent="0.3">
      <c r="B4" s="30" t="s">
        <v>41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2:21" ht="3.6" customHeight="1" x14ac:dyDescent="0.3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1" x14ac:dyDescent="0.3">
      <c r="B6" s="435" t="s">
        <v>482</v>
      </c>
      <c r="C6" s="435"/>
      <c r="D6" s="435"/>
      <c r="E6" s="37"/>
      <c r="F6" s="436" t="s">
        <v>42</v>
      </c>
      <c r="G6" s="436"/>
      <c r="H6" s="29"/>
      <c r="I6" s="436" t="s">
        <v>43</v>
      </c>
      <c r="J6" s="436"/>
      <c r="K6" s="29"/>
      <c r="L6" s="29"/>
      <c r="M6" s="38"/>
      <c r="N6" s="29"/>
      <c r="O6" s="29"/>
      <c r="P6" s="29"/>
      <c r="Q6" s="29"/>
      <c r="R6" s="29"/>
      <c r="S6" s="29"/>
      <c r="T6" s="29"/>
      <c r="U6" s="29"/>
    </row>
    <row r="7" spans="2:21" ht="3.6" customHeight="1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 t="s">
        <v>12</v>
      </c>
      <c r="M7" s="38">
        <f>_xlfn.COVARIANCE.S(D10:D113,G10:G113)/_xlfn.VAR.S(G10:G113)</f>
        <v>-7.7447364137855843E-2</v>
      </c>
      <c r="N7" s="29"/>
      <c r="O7" s="29"/>
      <c r="P7" s="29"/>
      <c r="Q7" s="29"/>
      <c r="R7" s="29"/>
      <c r="S7" s="29"/>
      <c r="T7" s="29"/>
      <c r="U7" s="29"/>
    </row>
    <row r="8" spans="2:21" ht="15" thickBot="1" x14ac:dyDescent="0.35">
      <c r="B8" s="31" t="s">
        <v>44</v>
      </c>
      <c r="C8" s="32" t="s">
        <v>45</v>
      </c>
      <c r="D8" s="32" t="s">
        <v>46</v>
      </c>
      <c r="E8" s="29"/>
      <c r="F8" s="32" t="s">
        <v>45</v>
      </c>
      <c r="G8" s="32" t="s">
        <v>46</v>
      </c>
      <c r="H8" s="29"/>
      <c r="I8" s="29" t="s">
        <v>47</v>
      </c>
      <c r="J8" s="301">
        <f>SLOPE(D10:D113,G10:G113)</f>
        <v>-7.7447364137855884E-2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2:21" x14ac:dyDescent="0.3">
      <c r="B9" s="123" t="s">
        <v>77</v>
      </c>
      <c r="C9" s="125">
        <v>4215.8500000000004</v>
      </c>
      <c r="D9" s="29"/>
      <c r="E9" s="29"/>
      <c r="F9" s="44">
        <v>14529.2</v>
      </c>
      <c r="G9" s="29"/>
      <c r="H9" s="29"/>
      <c r="I9" s="29" t="s">
        <v>48</v>
      </c>
      <c r="J9" s="42">
        <v>0.75</v>
      </c>
      <c r="K9" s="29"/>
      <c r="L9" s="300" t="s">
        <v>500</v>
      </c>
      <c r="M9" s="301">
        <f>M28</f>
        <v>1.2421252296486511</v>
      </c>
      <c r="N9" s="29"/>
      <c r="O9" s="29"/>
      <c r="P9" s="29"/>
      <c r="Q9" s="29"/>
      <c r="R9" s="29"/>
      <c r="S9" s="29"/>
      <c r="T9" s="29"/>
      <c r="U9" s="29"/>
    </row>
    <row r="10" spans="2:21" x14ac:dyDescent="0.3">
      <c r="B10" s="123">
        <v>45390</v>
      </c>
      <c r="C10" s="125">
        <v>4162.3999999999996</v>
      </c>
      <c r="D10" s="35">
        <f>C10/C9-1</f>
        <v>-1.2678344817771192E-2</v>
      </c>
      <c r="E10" s="29"/>
      <c r="F10" s="44">
        <v>14938.1</v>
      </c>
      <c r="G10" s="35">
        <f>F10/F9-1</f>
        <v>2.8143325165872923E-2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2:21" x14ac:dyDescent="0.3">
      <c r="B11" s="123">
        <v>45604</v>
      </c>
      <c r="C11" s="125">
        <v>4346.76</v>
      </c>
      <c r="D11" s="35">
        <f t="shared" ref="D11:D74" si="0">C11/C10-1</f>
        <v>4.4291754756871082E-2</v>
      </c>
      <c r="E11" s="29"/>
      <c r="F11" s="44">
        <v>15031</v>
      </c>
      <c r="G11" s="35">
        <f t="shared" ref="G11:G74" si="1">F11/F10-1</f>
        <v>6.2189970612058776E-3</v>
      </c>
      <c r="H11" s="29"/>
      <c r="I11" s="29" t="s">
        <v>49</v>
      </c>
      <c r="J11" s="43">
        <v>1</v>
      </c>
      <c r="K11" s="29"/>
      <c r="L11" t="s">
        <v>50</v>
      </c>
      <c r="U11" s="29"/>
    </row>
    <row r="12" spans="2:21" ht="13.8" customHeight="1" thickBot="1" x14ac:dyDescent="0.35">
      <c r="B12" s="123" t="s">
        <v>78</v>
      </c>
      <c r="C12" s="125">
        <v>4393.8599999999997</v>
      </c>
      <c r="D12" s="35">
        <f t="shared" si="0"/>
        <v>1.0835656903072532E-2</v>
      </c>
      <c r="E12" s="29"/>
      <c r="F12" s="44">
        <v>14744</v>
      </c>
      <c r="G12" s="35">
        <f t="shared" si="1"/>
        <v>-1.9093872663162759E-2</v>
      </c>
      <c r="H12" s="29"/>
      <c r="I12" s="29" t="s">
        <v>51</v>
      </c>
      <c r="J12" s="35">
        <f>100%-J9</f>
        <v>0.25</v>
      </c>
      <c r="K12" s="29"/>
      <c r="U12" s="29"/>
    </row>
    <row r="13" spans="2:21" x14ac:dyDescent="0.3">
      <c r="B13" s="123" t="s">
        <v>79</v>
      </c>
      <c r="C13" s="125">
        <v>4482.3</v>
      </c>
      <c r="D13" s="35">
        <f t="shared" si="0"/>
        <v>2.0128087831656094E-2</v>
      </c>
      <c r="E13" s="29"/>
      <c r="F13" s="44">
        <v>14507.3</v>
      </c>
      <c r="G13" s="35">
        <f t="shared" si="1"/>
        <v>-1.6053988062940894E-2</v>
      </c>
      <c r="H13" s="29"/>
      <c r="I13" s="29"/>
      <c r="J13" s="29"/>
      <c r="K13" s="29"/>
      <c r="L13" s="40" t="s">
        <v>52</v>
      </c>
      <c r="M13" s="40"/>
      <c r="U13" s="29"/>
    </row>
    <row r="14" spans="2:21" x14ac:dyDescent="0.3">
      <c r="B14" s="123">
        <v>45300</v>
      </c>
      <c r="C14" s="125">
        <v>4386.82</v>
      </c>
      <c r="D14" s="35">
        <f t="shared" si="0"/>
        <v>-2.1301563929232881E-2</v>
      </c>
      <c r="E14" s="29"/>
      <c r="F14" s="44">
        <v>14867.3</v>
      </c>
      <c r="G14" s="35">
        <f t="shared" si="1"/>
        <v>2.4815093091064444E-2</v>
      </c>
      <c r="H14" s="29"/>
      <c r="I14" s="36" t="s">
        <v>53</v>
      </c>
      <c r="J14" s="41">
        <f>(J8*J9)+(J11*J12)</f>
        <v>0.19191447689660809</v>
      </c>
      <c r="K14" s="29"/>
      <c r="L14" t="s">
        <v>54</v>
      </c>
      <c r="M14">
        <v>0.51109437804243274</v>
      </c>
      <c r="U14" s="29"/>
    </row>
    <row r="15" spans="2:21" x14ac:dyDescent="0.3">
      <c r="B15" s="123">
        <v>45513</v>
      </c>
      <c r="C15" s="125">
        <v>4451.6400000000003</v>
      </c>
      <c r="D15" s="35">
        <f t="shared" si="0"/>
        <v>1.4776079255588437E-2</v>
      </c>
      <c r="E15" s="29"/>
      <c r="F15" s="44">
        <v>14834.8</v>
      </c>
      <c r="G15" s="35">
        <f t="shared" si="1"/>
        <v>-2.1860055289124602E-3</v>
      </c>
      <c r="H15" s="29"/>
      <c r="I15" s="29"/>
      <c r="J15" s="29"/>
      <c r="K15" s="29"/>
      <c r="L15" t="s">
        <v>55</v>
      </c>
      <c r="M15">
        <v>0.26121746326658118</v>
      </c>
      <c r="U15" s="29"/>
    </row>
    <row r="16" spans="2:21" x14ac:dyDescent="0.3">
      <c r="B16" s="123" t="s">
        <v>80</v>
      </c>
      <c r="C16" s="125">
        <v>4217.67</v>
      </c>
      <c r="D16" s="35">
        <f t="shared" si="0"/>
        <v>-5.2558158341644901E-2</v>
      </c>
      <c r="E16" s="29"/>
      <c r="F16" s="44">
        <v>14617.8</v>
      </c>
      <c r="G16" s="35">
        <f t="shared" si="1"/>
        <v>-1.4627767142125325E-2</v>
      </c>
      <c r="H16" s="29"/>
      <c r="I16" s="29"/>
      <c r="J16" s="29"/>
      <c r="K16" s="29"/>
      <c r="L16" t="s">
        <v>56</v>
      </c>
      <c r="M16">
        <v>0.25397449722017512</v>
      </c>
      <c r="U16" s="29"/>
    </row>
    <row r="17" spans="2:21" x14ac:dyDescent="0.3">
      <c r="B17" s="123" t="s">
        <v>81</v>
      </c>
      <c r="C17" s="125">
        <v>4241.09</v>
      </c>
      <c r="D17" s="35">
        <f t="shared" si="0"/>
        <v>5.5528289316140178E-3</v>
      </c>
      <c r="E17" s="29"/>
      <c r="F17" s="44">
        <v>14341.3</v>
      </c>
      <c r="G17" s="35">
        <f t="shared" si="1"/>
        <v>-1.8915295051238901E-2</v>
      </c>
      <c r="H17" s="29"/>
      <c r="I17" s="29"/>
      <c r="J17" s="29"/>
      <c r="K17" s="29"/>
      <c r="L17" t="s">
        <v>57</v>
      </c>
      <c r="M17">
        <v>4.2284959614115471E-2</v>
      </c>
      <c r="U17" s="29"/>
    </row>
    <row r="18" spans="2:21" ht="15" thickBot="1" x14ac:dyDescent="0.35">
      <c r="B18" s="123" t="s">
        <v>82</v>
      </c>
      <c r="C18" s="125">
        <v>4185.53</v>
      </c>
      <c r="D18" s="35">
        <f t="shared" si="0"/>
        <v>-1.310040579190741E-2</v>
      </c>
      <c r="E18" s="29"/>
      <c r="F18" s="44">
        <v>14631.1</v>
      </c>
      <c r="G18" s="35">
        <f t="shared" si="1"/>
        <v>2.0207373111224225E-2</v>
      </c>
      <c r="H18" s="29"/>
      <c r="I18" s="29"/>
      <c r="J18" s="29"/>
      <c r="K18" s="29"/>
      <c r="L18" s="6" t="s">
        <v>58</v>
      </c>
      <c r="M18" s="6">
        <v>104</v>
      </c>
      <c r="U18" s="29"/>
    </row>
    <row r="19" spans="2:21" x14ac:dyDescent="0.3">
      <c r="B19" s="123">
        <v>45453</v>
      </c>
      <c r="C19" s="125">
        <v>4084.09</v>
      </c>
      <c r="D19" s="35">
        <f t="shared" si="0"/>
        <v>-2.4235879327110244E-2</v>
      </c>
      <c r="E19" s="29"/>
      <c r="F19" s="44">
        <v>14823.2</v>
      </c>
      <c r="G19" s="35">
        <f t="shared" si="1"/>
        <v>1.3129566471420384E-2</v>
      </c>
      <c r="H19" s="29"/>
      <c r="I19" s="29"/>
      <c r="J19" s="29"/>
      <c r="K19" s="29"/>
      <c r="U19" s="29"/>
    </row>
    <row r="20" spans="2:21" ht="15" thickBot="1" x14ac:dyDescent="0.35">
      <c r="B20" s="123" t="s">
        <v>83</v>
      </c>
      <c r="C20" s="125">
        <v>4058.35</v>
      </c>
      <c r="D20" s="35">
        <f t="shared" si="0"/>
        <v>-6.3025055765176807E-3</v>
      </c>
      <c r="E20" s="29"/>
      <c r="F20" s="44">
        <v>14677.8</v>
      </c>
      <c r="G20" s="35">
        <f t="shared" si="1"/>
        <v>-9.8089481353554886E-3</v>
      </c>
      <c r="H20" s="29"/>
      <c r="I20" s="29"/>
      <c r="J20" s="29"/>
      <c r="K20" s="29"/>
      <c r="L20" t="s">
        <v>59</v>
      </c>
      <c r="U20" s="29"/>
    </row>
    <row r="21" spans="2:21" x14ac:dyDescent="0.3">
      <c r="B21" s="123" t="s">
        <v>84</v>
      </c>
      <c r="C21" s="125">
        <v>3993.88</v>
      </c>
      <c r="D21" s="35">
        <f t="shared" si="0"/>
        <v>-1.5885766382889521E-2</v>
      </c>
      <c r="E21" s="29"/>
      <c r="F21" s="44">
        <v>15175.3</v>
      </c>
      <c r="G21" s="35">
        <f t="shared" si="1"/>
        <v>3.3894725367561884E-2</v>
      </c>
      <c r="H21" s="29"/>
      <c r="I21" s="29"/>
      <c r="J21" s="29"/>
      <c r="K21" s="29"/>
      <c r="L21" s="39"/>
      <c r="M21" s="39" t="s">
        <v>60</v>
      </c>
      <c r="N21" s="39" t="s">
        <v>61</v>
      </c>
      <c r="O21" s="39" t="s">
        <v>62</v>
      </c>
      <c r="P21" s="39" t="s">
        <v>63</v>
      </c>
      <c r="Q21" s="39" t="s">
        <v>64</v>
      </c>
      <c r="U21" s="29"/>
    </row>
    <row r="22" spans="2:21" x14ac:dyDescent="0.3">
      <c r="B22" s="123" t="s">
        <v>85</v>
      </c>
      <c r="C22" s="125">
        <v>3921.68</v>
      </c>
      <c r="D22" s="35">
        <f t="shared" si="0"/>
        <v>-1.8077658817991615E-2</v>
      </c>
      <c r="E22" s="29"/>
      <c r="F22" s="44">
        <v>15435.7</v>
      </c>
      <c r="G22" s="35">
        <f t="shared" si="1"/>
        <v>1.7159463074865267E-2</v>
      </c>
      <c r="H22" s="29"/>
      <c r="I22" s="29"/>
      <c r="J22" s="29"/>
      <c r="K22" s="29"/>
      <c r="L22" t="s">
        <v>65</v>
      </c>
      <c r="M22">
        <v>1</v>
      </c>
      <c r="N22">
        <v>6.4484835839098448E-2</v>
      </c>
      <c r="O22">
        <v>6.4484835839098448E-2</v>
      </c>
      <c r="P22">
        <v>36.064985199840379</v>
      </c>
      <c r="Q22">
        <v>2.9601287490140681E-8</v>
      </c>
      <c r="U22" s="29"/>
    </row>
    <row r="23" spans="2:21" x14ac:dyDescent="0.3">
      <c r="B23" s="123">
        <v>45362</v>
      </c>
      <c r="C23" s="125">
        <v>4081.93</v>
      </c>
      <c r="D23" s="35">
        <f t="shared" si="0"/>
        <v>4.0862589502458135E-2</v>
      </c>
      <c r="E23" s="29"/>
      <c r="F23" s="44">
        <v>15670.3</v>
      </c>
      <c r="G23" s="35">
        <f t="shared" si="1"/>
        <v>1.5198533270275982E-2</v>
      </c>
      <c r="H23" s="29"/>
      <c r="I23" s="29"/>
      <c r="J23" s="29"/>
      <c r="K23" s="29"/>
      <c r="L23" t="s">
        <v>66</v>
      </c>
      <c r="M23">
        <v>102</v>
      </c>
      <c r="N23">
        <v>0.1823778165758724</v>
      </c>
      <c r="O23">
        <v>1.7880178095673765E-3</v>
      </c>
      <c r="U23" s="29"/>
    </row>
    <row r="24" spans="2:21" ht="15" thickBot="1" x14ac:dyDescent="0.35">
      <c r="B24" s="123">
        <v>45576</v>
      </c>
      <c r="C24" s="125">
        <v>4080.85</v>
      </c>
      <c r="D24" s="35">
        <f t="shared" si="0"/>
        <v>-2.645807252941168E-4</v>
      </c>
      <c r="E24" s="29"/>
      <c r="F24" s="44">
        <v>15799.3</v>
      </c>
      <c r="G24" s="35">
        <f t="shared" si="1"/>
        <v>8.2321333988499834E-3</v>
      </c>
      <c r="H24" s="29"/>
      <c r="I24" s="29"/>
      <c r="J24" s="29"/>
      <c r="K24" s="29"/>
      <c r="L24" s="6" t="s">
        <v>67</v>
      </c>
      <c r="M24" s="6">
        <v>103</v>
      </c>
      <c r="N24" s="6">
        <v>0.24686265241497085</v>
      </c>
      <c r="O24" s="6"/>
      <c r="P24" s="6"/>
      <c r="Q24" s="6"/>
      <c r="U24" s="34"/>
    </row>
    <row r="25" spans="2:21" ht="15" thickBot="1" x14ac:dyDescent="0.35">
      <c r="B25" s="123" t="s">
        <v>86</v>
      </c>
      <c r="C25" s="125">
        <v>4178</v>
      </c>
      <c r="D25" s="35">
        <f t="shared" si="0"/>
        <v>2.38063148608747E-2</v>
      </c>
      <c r="E25" s="29"/>
      <c r="F25" s="44">
        <v>15683.3</v>
      </c>
      <c r="G25" s="35">
        <f t="shared" si="1"/>
        <v>-7.3420974346964929E-3</v>
      </c>
      <c r="H25" s="29"/>
      <c r="I25" s="29"/>
      <c r="J25" s="29"/>
      <c r="K25" s="29"/>
      <c r="U25" s="34"/>
    </row>
    <row r="26" spans="2:21" x14ac:dyDescent="0.3">
      <c r="B26" s="123" t="s">
        <v>87</v>
      </c>
      <c r="C26" s="125">
        <v>4203.84</v>
      </c>
      <c r="D26" s="35">
        <f t="shared" si="0"/>
        <v>6.184777405457087E-3</v>
      </c>
      <c r="E26" s="29"/>
      <c r="F26" s="44">
        <v>15860.3</v>
      </c>
      <c r="G26" s="35">
        <f t="shared" si="1"/>
        <v>1.1285890086907724E-2</v>
      </c>
      <c r="H26" s="29"/>
      <c r="I26" s="29"/>
      <c r="J26" s="29"/>
      <c r="K26" s="29"/>
      <c r="L26" s="39"/>
      <c r="M26" s="39" t="s">
        <v>68</v>
      </c>
      <c r="N26" s="39" t="s">
        <v>57</v>
      </c>
      <c r="O26" s="39" t="s">
        <v>69</v>
      </c>
      <c r="P26" s="39" t="s">
        <v>70</v>
      </c>
      <c r="Q26" s="39" t="s">
        <v>71</v>
      </c>
      <c r="R26" s="39" t="s">
        <v>72</v>
      </c>
      <c r="S26" s="39" t="s">
        <v>73</v>
      </c>
      <c r="T26" s="39" t="s">
        <v>74</v>
      </c>
      <c r="U26" s="34"/>
    </row>
    <row r="27" spans="2:21" x14ac:dyDescent="0.3">
      <c r="B27" s="123">
        <v>45303</v>
      </c>
      <c r="C27" s="125">
        <v>4375.75</v>
      </c>
      <c r="D27" s="35">
        <f t="shared" si="0"/>
        <v>4.0893563979599534E-2</v>
      </c>
      <c r="E27" s="29"/>
      <c r="F27" s="44">
        <v>15722.2</v>
      </c>
      <c r="G27" s="35">
        <f t="shared" si="1"/>
        <v>-8.7072753983215012E-3</v>
      </c>
      <c r="H27" s="29"/>
      <c r="I27" s="29"/>
      <c r="J27" s="29"/>
      <c r="K27" s="29"/>
      <c r="L27" t="s">
        <v>75</v>
      </c>
      <c r="M27">
        <v>1.0685559992921296E-4</v>
      </c>
      <c r="N27">
        <v>4.1708240440153583E-3</v>
      </c>
      <c r="O27">
        <v>2.5619781319362579E-2</v>
      </c>
      <c r="P27">
        <v>0.97961066430393151</v>
      </c>
      <c r="Q27">
        <v>-8.1659541156753109E-3</v>
      </c>
      <c r="R27">
        <v>8.3796653155337377E-3</v>
      </c>
      <c r="S27">
        <v>-8.1659541156753109E-3</v>
      </c>
      <c r="T27">
        <v>8.3796653155337377E-3</v>
      </c>
      <c r="U27" s="34"/>
    </row>
    <row r="28" spans="2:21" ht="15" thickBot="1" x14ac:dyDescent="0.35">
      <c r="B28" s="123">
        <v>45516</v>
      </c>
      <c r="C28" s="125">
        <v>4403.7</v>
      </c>
      <c r="D28" s="35">
        <f t="shared" si="0"/>
        <v>6.3874764326115052E-3</v>
      </c>
      <c r="E28" s="29"/>
      <c r="F28" s="44">
        <v>15689.8</v>
      </c>
      <c r="G28" s="35">
        <f t="shared" si="1"/>
        <v>-2.0607802979227818E-3</v>
      </c>
      <c r="H28" s="29"/>
      <c r="I28" s="29"/>
      <c r="J28" s="29"/>
      <c r="K28" s="29"/>
      <c r="L28" s="6" t="s">
        <v>76</v>
      </c>
      <c r="M28" s="6">
        <v>1.2421252296486511</v>
      </c>
      <c r="N28" s="6">
        <v>0.20683427291066647</v>
      </c>
      <c r="O28" s="6">
        <v>6.0054129916135119</v>
      </c>
      <c r="P28" s="6">
        <v>2.9601287490141068E-8</v>
      </c>
      <c r="Q28" s="6">
        <v>0.83187043002204319</v>
      </c>
      <c r="R28" s="6">
        <v>1.6523800292752591</v>
      </c>
      <c r="S28" s="6">
        <v>0.83187043002204319</v>
      </c>
      <c r="T28" s="6">
        <v>1.6523800292752591</v>
      </c>
      <c r="U28" s="34"/>
    </row>
    <row r="29" spans="2:21" x14ac:dyDescent="0.3">
      <c r="B29" s="123" t="s">
        <v>88</v>
      </c>
      <c r="C29" s="125">
        <v>4104.8599999999997</v>
      </c>
      <c r="D29" s="35">
        <f t="shared" si="0"/>
        <v>-6.7861116788155429E-2</v>
      </c>
      <c r="E29" s="29"/>
      <c r="F29" s="44">
        <v>15923.4</v>
      </c>
      <c r="G29" s="35">
        <f t="shared" si="1"/>
        <v>1.4888653775064098E-2</v>
      </c>
      <c r="H29" s="29"/>
      <c r="I29" s="29"/>
      <c r="J29" s="29"/>
      <c r="K29" s="29"/>
      <c r="U29" s="34"/>
    </row>
    <row r="30" spans="2:21" x14ac:dyDescent="0.3">
      <c r="B30" s="123" t="s">
        <v>89</v>
      </c>
      <c r="C30" s="125">
        <v>4099.5</v>
      </c>
      <c r="D30" s="35">
        <f t="shared" si="0"/>
        <v>-1.3057692588783754E-3</v>
      </c>
      <c r="E30" s="29"/>
      <c r="F30" s="44">
        <v>15856</v>
      </c>
      <c r="G30" s="35">
        <f t="shared" si="1"/>
        <v>-4.2327643593704778E-3</v>
      </c>
      <c r="H30" s="29"/>
      <c r="I30" s="29"/>
      <c r="J30" s="29"/>
      <c r="K30" s="29"/>
      <c r="U30" s="34"/>
    </row>
    <row r="31" spans="2:21" x14ac:dyDescent="0.3">
      <c r="B31" s="123" t="s">
        <v>90</v>
      </c>
      <c r="C31" s="125">
        <v>4035.57</v>
      </c>
      <c r="D31" s="35">
        <f t="shared" si="0"/>
        <v>-1.5594584705451831E-2</v>
      </c>
      <c r="E31" s="29"/>
      <c r="F31" s="44">
        <v>15763</v>
      </c>
      <c r="G31" s="35">
        <f t="shared" si="1"/>
        <v>-5.865287588294632E-3</v>
      </c>
      <c r="H31" s="29"/>
      <c r="I31" s="29"/>
      <c r="J31" s="29"/>
      <c r="K31" s="29"/>
      <c r="U31" s="34"/>
    </row>
    <row r="32" spans="2:21" x14ac:dyDescent="0.3">
      <c r="B32" s="123">
        <v>45778</v>
      </c>
      <c r="C32" s="125">
        <v>4198.72</v>
      </c>
      <c r="D32" s="35">
        <f t="shared" si="0"/>
        <v>4.0427994062796513E-2</v>
      </c>
      <c r="E32" s="29"/>
      <c r="F32" s="44">
        <v>16238.2</v>
      </c>
      <c r="G32" s="35">
        <f t="shared" si="1"/>
        <v>3.0146545708304329E-2</v>
      </c>
      <c r="H32" s="29"/>
      <c r="I32" s="29"/>
      <c r="J32" s="29"/>
      <c r="K32" s="29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2:21" x14ac:dyDescent="0.3">
      <c r="B33" s="123">
        <v>45992</v>
      </c>
      <c r="C33" s="125">
        <v>4124.3</v>
      </c>
      <c r="D33" s="35">
        <f t="shared" si="0"/>
        <v>-1.7724449355994265E-2</v>
      </c>
      <c r="E33" s="29"/>
      <c r="F33" s="44">
        <v>16529.099999999999</v>
      </c>
      <c r="G33" s="35">
        <f t="shared" si="1"/>
        <v>1.7914547178874418E-2</v>
      </c>
      <c r="H33" s="29"/>
      <c r="I33" s="29"/>
      <c r="J33" s="29"/>
      <c r="K33" s="29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spans="2:21" x14ac:dyDescent="0.3">
      <c r="B34" s="123" t="s">
        <v>91</v>
      </c>
      <c r="C34" s="125">
        <v>4152.3500000000004</v>
      </c>
      <c r="D34" s="35">
        <f t="shared" si="0"/>
        <v>6.8011541352472893E-3</v>
      </c>
      <c r="E34" s="29"/>
      <c r="F34" s="44">
        <v>16450.5</v>
      </c>
      <c r="G34" s="35">
        <f t="shared" si="1"/>
        <v>-4.7552498321141723E-3</v>
      </c>
      <c r="H34" s="29"/>
      <c r="I34" s="29"/>
      <c r="J34" s="29"/>
      <c r="K34" s="29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spans="2:21" x14ac:dyDescent="0.3">
      <c r="B35" s="123" t="s">
        <v>92</v>
      </c>
      <c r="C35" s="125">
        <v>4112.3999999999996</v>
      </c>
      <c r="D35" s="35">
        <f t="shared" si="0"/>
        <v>-9.6210579551340158E-3</v>
      </c>
      <c r="E35" s="29"/>
      <c r="F35" s="44">
        <v>16705.2</v>
      </c>
      <c r="G35" s="35">
        <f t="shared" si="1"/>
        <v>1.5482812072581398E-2</v>
      </c>
      <c r="H35" s="29"/>
      <c r="I35" s="29"/>
      <c r="J35" s="29"/>
      <c r="K35" s="29"/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spans="2:21" x14ac:dyDescent="0.3">
      <c r="B36" s="123">
        <v>45690</v>
      </c>
      <c r="C36" s="125">
        <v>4029.4</v>
      </c>
      <c r="D36" s="35">
        <f t="shared" si="0"/>
        <v>-2.0182861589339463E-2</v>
      </c>
      <c r="E36" s="29"/>
      <c r="F36" s="44">
        <v>17323.599999999999</v>
      </c>
      <c r="G36" s="35">
        <f t="shared" si="1"/>
        <v>3.7018413428153929E-2</v>
      </c>
      <c r="H36" s="29"/>
      <c r="I36" s="29"/>
      <c r="J36" s="29"/>
      <c r="K36" s="29"/>
      <c r="L36" s="29"/>
      <c r="M36" s="29"/>
      <c r="O36" s="29"/>
      <c r="P36" s="29"/>
      <c r="Q36" s="29"/>
      <c r="R36" s="29"/>
      <c r="S36" s="29"/>
      <c r="T36" s="29"/>
      <c r="U36" s="29"/>
    </row>
    <row r="37" spans="2:21" x14ac:dyDescent="0.3">
      <c r="B37" s="123">
        <v>45902</v>
      </c>
      <c r="C37" s="125">
        <v>3934.85</v>
      </c>
      <c r="D37" s="35">
        <f t="shared" si="0"/>
        <v>-2.3465032014692078E-2</v>
      </c>
      <c r="E37" s="29"/>
      <c r="F37" s="44">
        <v>17369.3</v>
      </c>
      <c r="G37" s="35">
        <f t="shared" si="1"/>
        <v>2.6380198111246589E-3</v>
      </c>
      <c r="H37" s="29"/>
      <c r="I37" s="29"/>
      <c r="J37" s="29"/>
      <c r="K37" s="29"/>
      <c r="L37" s="29"/>
      <c r="M37" s="29"/>
      <c r="O37" s="29"/>
      <c r="P37" s="29"/>
      <c r="Q37" s="29"/>
      <c r="R37" s="29"/>
      <c r="S37" s="29"/>
      <c r="T37" s="29"/>
      <c r="U37" s="29"/>
    </row>
    <row r="38" spans="2:21" x14ac:dyDescent="0.3">
      <c r="B38" s="123" t="s">
        <v>93</v>
      </c>
      <c r="C38" s="125">
        <v>3786</v>
      </c>
      <c r="D38" s="35">
        <f t="shared" si="0"/>
        <v>-3.7828633874226414E-2</v>
      </c>
      <c r="E38" s="29"/>
      <c r="F38" s="44">
        <v>17585.2</v>
      </c>
      <c r="G38" s="35">
        <f t="shared" si="1"/>
        <v>1.2429977028435291E-2</v>
      </c>
      <c r="H38" s="29"/>
      <c r="I38" s="29"/>
      <c r="J38" s="29"/>
      <c r="K38" s="29"/>
      <c r="L38" s="29"/>
      <c r="M38" s="29"/>
      <c r="O38" s="29"/>
      <c r="P38" s="29"/>
      <c r="Q38" s="29"/>
      <c r="R38" s="29"/>
      <c r="S38" s="29"/>
      <c r="T38" s="29"/>
      <c r="U38" s="29"/>
    </row>
    <row r="39" spans="2:21" x14ac:dyDescent="0.3">
      <c r="B39" s="123" t="s">
        <v>94</v>
      </c>
      <c r="C39" s="125">
        <v>3483.25</v>
      </c>
      <c r="D39" s="35">
        <f t="shared" si="0"/>
        <v>-7.9965662968832563E-2</v>
      </c>
      <c r="E39" s="29"/>
      <c r="F39" s="44">
        <v>17853.2</v>
      </c>
      <c r="G39" s="35">
        <f t="shared" si="1"/>
        <v>1.5240088256033513E-2</v>
      </c>
      <c r="H39" s="29"/>
      <c r="I39" s="29"/>
      <c r="J39" s="29"/>
      <c r="K39" s="29"/>
      <c r="L39" s="29"/>
      <c r="M39" s="29"/>
      <c r="O39" s="29"/>
      <c r="P39" s="29"/>
      <c r="Q39" s="29"/>
      <c r="R39" s="29"/>
      <c r="S39" s="29"/>
      <c r="T39" s="29"/>
      <c r="U39" s="29"/>
    </row>
    <row r="40" spans="2:21" x14ac:dyDescent="0.3">
      <c r="B40" s="123">
        <v>45691</v>
      </c>
      <c r="C40" s="125">
        <v>3611.2</v>
      </c>
      <c r="D40" s="35">
        <f t="shared" si="0"/>
        <v>3.6732936194645793E-2</v>
      </c>
      <c r="E40" s="29"/>
      <c r="F40" s="44">
        <v>17532.099999999999</v>
      </c>
      <c r="G40" s="35">
        <f t="shared" si="1"/>
        <v>-1.7985571214124252E-2</v>
      </c>
      <c r="H40" s="29"/>
      <c r="I40" s="29"/>
      <c r="J40" s="29"/>
      <c r="K40" s="29"/>
      <c r="L40" s="29"/>
      <c r="M40" s="29"/>
      <c r="O40" s="29"/>
      <c r="P40" s="29"/>
      <c r="Q40" s="29"/>
      <c r="R40" s="29"/>
      <c r="S40" s="29"/>
      <c r="T40" s="29"/>
      <c r="U40" s="29"/>
    </row>
    <row r="41" spans="2:21" x14ac:dyDescent="0.3">
      <c r="B41" s="123">
        <v>45903</v>
      </c>
      <c r="C41" s="125">
        <v>3511.05</v>
      </c>
      <c r="D41" s="35">
        <f t="shared" si="0"/>
        <v>-2.7733163491360124E-2</v>
      </c>
      <c r="E41" s="29"/>
      <c r="F41" s="44">
        <v>17895.2</v>
      </c>
      <c r="G41" s="35">
        <f t="shared" si="1"/>
        <v>2.0710582303318015E-2</v>
      </c>
      <c r="H41" s="29"/>
      <c r="I41" s="29"/>
      <c r="J41" s="29"/>
      <c r="K41" s="29"/>
      <c r="L41" s="29"/>
      <c r="M41" s="29"/>
      <c r="O41" s="29"/>
      <c r="P41" s="29"/>
      <c r="Q41" s="29"/>
      <c r="R41" s="29"/>
      <c r="S41" s="29"/>
      <c r="T41" s="29"/>
      <c r="U41" s="29"/>
    </row>
    <row r="42" spans="2:21" x14ac:dyDescent="0.3">
      <c r="B42" s="123" t="s">
        <v>95</v>
      </c>
      <c r="C42" s="125">
        <v>3578.1</v>
      </c>
      <c r="D42" s="35">
        <f t="shared" si="0"/>
        <v>1.9096851369248435E-2</v>
      </c>
      <c r="E42" s="29"/>
      <c r="F42" s="44">
        <v>18338.599999999999</v>
      </c>
      <c r="G42" s="35">
        <f t="shared" si="1"/>
        <v>2.4777593991684776E-2</v>
      </c>
      <c r="H42" s="29"/>
      <c r="I42" s="29"/>
      <c r="J42" s="29"/>
      <c r="K42" s="29"/>
      <c r="L42" s="29"/>
      <c r="M42" s="29"/>
      <c r="O42" s="29"/>
      <c r="P42" s="29"/>
      <c r="Q42" s="29"/>
      <c r="R42" s="29"/>
      <c r="S42" s="29"/>
      <c r="T42" s="29"/>
      <c r="U42" s="29"/>
    </row>
    <row r="43" spans="2:21" x14ac:dyDescent="0.3">
      <c r="B43" s="123" t="s">
        <v>96</v>
      </c>
      <c r="C43" s="125">
        <v>3606.15</v>
      </c>
      <c r="D43" s="35">
        <f t="shared" si="0"/>
        <v>7.8393560828373676E-3</v>
      </c>
      <c r="E43" s="29"/>
      <c r="F43" s="44">
        <v>18114.900000000001</v>
      </c>
      <c r="G43" s="35">
        <f t="shared" si="1"/>
        <v>-1.2198313938904692E-2</v>
      </c>
      <c r="H43" s="29"/>
      <c r="I43" s="29"/>
      <c r="J43" s="29"/>
      <c r="K43" s="29"/>
      <c r="L43" s="29"/>
      <c r="M43" s="29"/>
      <c r="O43" s="29"/>
      <c r="P43" s="29"/>
      <c r="Q43" s="29"/>
      <c r="R43" s="29"/>
      <c r="S43" s="29"/>
      <c r="T43" s="29"/>
      <c r="U43" s="29"/>
    </row>
    <row r="44" spans="2:21" x14ac:dyDescent="0.3">
      <c r="B44" s="123" t="s">
        <v>97</v>
      </c>
      <c r="C44" s="125">
        <v>3299.4</v>
      </c>
      <c r="D44" s="35">
        <f t="shared" si="0"/>
        <v>-8.5063017345368364E-2</v>
      </c>
      <c r="E44" s="29"/>
      <c r="F44" s="44">
        <v>17671.7</v>
      </c>
      <c r="G44" s="35">
        <f t="shared" si="1"/>
        <v>-2.4466047287039938E-2</v>
      </c>
      <c r="H44" s="29"/>
      <c r="I44" s="29"/>
      <c r="J44" s="29"/>
      <c r="K44" s="29"/>
      <c r="L44" s="29"/>
      <c r="M44" s="29"/>
      <c r="O44" s="29"/>
      <c r="P44" s="29"/>
      <c r="Q44" s="29"/>
      <c r="R44" s="29"/>
      <c r="S44" s="29"/>
      <c r="T44" s="29"/>
      <c r="U44" s="29"/>
    </row>
    <row r="45" spans="2:21" x14ac:dyDescent="0.3">
      <c r="B45" s="123">
        <v>45812</v>
      </c>
      <c r="C45" s="125">
        <v>3231.5</v>
      </c>
      <c r="D45" s="35">
        <f t="shared" si="0"/>
        <v>-2.0579499302903592E-2</v>
      </c>
      <c r="E45" s="29"/>
      <c r="F45" s="44">
        <v>17916.8</v>
      </c>
      <c r="G45" s="35">
        <f t="shared" si="1"/>
        <v>1.3869633368606138E-2</v>
      </c>
      <c r="H45" s="29"/>
      <c r="I45" s="29"/>
      <c r="J45" s="29"/>
      <c r="K45" s="29"/>
      <c r="L45" s="29"/>
      <c r="M45" s="29"/>
      <c r="O45" s="29"/>
      <c r="P45" s="29"/>
      <c r="Q45" s="29"/>
      <c r="R45" s="29"/>
      <c r="S45" s="29"/>
      <c r="T45" s="29"/>
      <c r="U45" s="29"/>
    </row>
    <row r="46" spans="2:21" x14ac:dyDescent="0.3">
      <c r="B46" s="123" t="s">
        <v>98</v>
      </c>
      <c r="C46" s="125">
        <v>3298.9</v>
      </c>
      <c r="D46" s="35">
        <f t="shared" si="0"/>
        <v>2.085718706483064E-2</v>
      </c>
      <c r="E46" s="29"/>
      <c r="F46" s="44">
        <v>18102.8</v>
      </c>
      <c r="G46" s="35">
        <f t="shared" si="1"/>
        <v>1.0381318092516523E-2</v>
      </c>
      <c r="H46" s="29"/>
      <c r="I46" s="29"/>
      <c r="J46" s="29"/>
      <c r="K46" s="29"/>
      <c r="L46" s="29"/>
      <c r="M46" s="29"/>
      <c r="O46" s="29"/>
      <c r="P46" s="29"/>
      <c r="Q46" s="29"/>
      <c r="R46" s="29"/>
      <c r="S46" s="29"/>
      <c r="T46" s="29"/>
      <c r="U46" s="29"/>
    </row>
    <row r="47" spans="2:21" x14ac:dyDescent="0.3">
      <c r="B47" s="123" t="s">
        <v>99</v>
      </c>
      <c r="C47" s="125">
        <v>3448</v>
      </c>
      <c r="D47" s="35">
        <f t="shared" si="0"/>
        <v>4.5196883809754729E-2</v>
      </c>
      <c r="E47" s="29"/>
      <c r="F47" s="44">
        <v>17764.8</v>
      </c>
      <c r="G47" s="35">
        <f t="shared" si="1"/>
        <v>-1.8671144795280314E-2</v>
      </c>
      <c r="H47" s="29"/>
      <c r="I47" s="29"/>
      <c r="J47" s="29"/>
      <c r="K47" s="29"/>
      <c r="L47" s="29"/>
      <c r="M47" s="29"/>
      <c r="O47" s="29"/>
      <c r="P47" s="29"/>
      <c r="Q47" s="29"/>
      <c r="R47" s="29"/>
      <c r="S47" s="29"/>
      <c r="T47" s="29"/>
      <c r="U47" s="29"/>
    </row>
    <row r="48" spans="2:21" x14ac:dyDescent="0.3">
      <c r="B48" s="123" t="s">
        <v>100</v>
      </c>
      <c r="C48" s="125">
        <v>3444.7</v>
      </c>
      <c r="D48" s="35">
        <f t="shared" si="0"/>
        <v>-9.5707656612531444E-4</v>
      </c>
      <c r="E48" s="29"/>
      <c r="F48" s="44">
        <v>17026.400000000001</v>
      </c>
      <c r="G48" s="35">
        <f t="shared" si="1"/>
        <v>-4.1565342700170982E-2</v>
      </c>
      <c r="H48" s="29"/>
      <c r="I48" s="29"/>
      <c r="J48" s="29"/>
      <c r="K48" s="29"/>
      <c r="L48" s="29"/>
      <c r="M48" s="29"/>
      <c r="O48" s="29"/>
      <c r="P48" s="29"/>
      <c r="Q48" s="29"/>
      <c r="R48" s="29"/>
      <c r="S48" s="29"/>
      <c r="T48" s="29"/>
      <c r="U48" s="29"/>
    </row>
    <row r="49" spans="2:21" x14ac:dyDescent="0.3">
      <c r="B49" s="123">
        <v>45752</v>
      </c>
      <c r="C49" s="125">
        <v>3440.3</v>
      </c>
      <c r="D49" s="35">
        <f t="shared" si="0"/>
        <v>-1.2773245855951521E-3</v>
      </c>
      <c r="E49" s="29"/>
      <c r="F49" s="44">
        <v>17196.7</v>
      </c>
      <c r="G49" s="35">
        <f t="shared" si="1"/>
        <v>1.0002114363576453E-2</v>
      </c>
      <c r="H49" s="29"/>
      <c r="I49" s="29"/>
      <c r="J49" s="29"/>
      <c r="K49" s="29"/>
      <c r="L49" s="29"/>
      <c r="M49" s="29"/>
      <c r="O49" s="29"/>
      <c r="P49" s="29"/>
      <c r="Q49" s="29"/>
      <c r="R49" s="29"/>
      <c r="S49" s="29"/>
      <c r="T49" s="29"/>
      <c r="U49" s="29"/>
    </row>
    <row r="50" spans="2:21" x14ac:dyDescent="0.3">
      <c r="B50" s="123">
        <v>45966</v>
      </c>
      <c r="C50" s="125">
        <v>3561.3</v>
      </c>
      <c r="D50" s="35">
        <f t="shared" si="0"/>
        <v>3.5171351335639311E-2</v>
      </c>
      <c r="E50" s="29"/>
      <c r="F50" s="44">
        <v>17511.3</v>
      </c>
      <c r="G50" s="35">
        <f t="shared" si="1"/>
        <v>1.8294207609599322E-2</v>
      </c>
      <c r="H50" s="29"/>
      <c r="I50" s="29"/>
      <c r="J50" s="29"/>
      <c r="K50" s="29"/>
      <c r="L50" s="29"/>
      <c r="M50" s="29"/>
      <c r="O50" s="29"/>
      <c r="P50" s="29"/>
      <c r="Q50" s="29"/>
      <c r="R50" s="29"/>
      <c r="S50" s="29"/>
      <c r="T50" s="29"/>
      <c r="U50" s="29"/>
    </row>
    <row r="51" spans="2:21" x14ac:dyDescent="0.3">
      <c r="B51" s="123" t="s">
        <v>101</v>
      </c>
      <c r="C51" s="125">
        <v>3514.6</v>
      </c>
      <c r="D51" s="35">
        <f t="shared" si="0"/>
        <v>-1.311318900401548E-2</v>
      </c>
      <c r="E51" s="29"/>
      <c r="F51" s="44">
        <v>16985.2</v>
      </c>
      <c r="G51" s="35">
        <f t="shared" si="1"/>
        <v>-3.004345765305827E-2</v>
      </c>
      <c r="H51" s="29"/>
      <c r="I51" s="29"/>
      <c r="J51" s="29"/>
      <c r="K51" s="29"/>
      <c r="L51" s="29"/>
      <c r="M51" s="29"/>
      <c r="O51" s="29"/>
      <c r="P51" s="29"/>
      <c r="Q51" s="29"/>
      <c r="R51" s="29"/>
      <c r="S51" s="29"/>
      <c r="T51" s="29"/>
      <c r="U51" s="29"/>
    </row>
    <row r="52" spans="2:21" x14ac:dyDescent="0.3">
      <c r="B52" s="123" t="s">
        <v>102</v>
      </c>
      <c r="C52" s="125">
        <v>3463.4</v>
      </c>
      <c r="D52" s="35">
        <f t="shared" si="0"/>
        <v>-1.456780287941728E-2</v>
      </c>
      <c r="E52" s="29"/>
      <c r="F52" s="44">
        <v>17003.8</v>
      </c>
      <c r="G52" s="35">
        <f t="shared" si="1"/>
        <v>1.0950710029906663E-3</v>
      </c>
      <c r="H52" s="29"/>
      <c r="I52" s="29"/>
      <c r="J52" s="29"/>
      <c r="K52" s="29"/>
      <c r="L52" s="29"/>
      <c r="M52" s="29"/>
      <c r="O52" s="29"/>
      <c r="P52" s="29"/>
      <c r="Q52" s="29"/>
      <c r="R52" s="29"/>
      <c r="S52" s="29"/>
      <c r="T52" s="29"/>
      <c r="U52" s="29"/>
    </row>
    <row r="53" spans="2:21" x14ac:dyDescent="0.3">
      <c r="B53" s="123">
        <v>45663</v>
      </c>
      <c r="C53" s="125">
        <v>3384.2</v>
      </c>
      <c r="D53" s="35">
        <f t="shared" si="0"/>
        <v>-2.2867702257896916E-2</v>
      </c>
      <c r="E53" s="29"/>
      <c r="F53" s="44">
        <v>17354.099999999999</v>
      </c>
      <c r="G53" s="35">
        <f t="shared" si="1"/>
        <v>2.0601277361530945E-2</v>
      </c>
      <c r="H53" s="29"/>
      <c r="I53" s="29"/>
      <c r="J53" s="29"/>
      <c r="K53" s="29"/>
      <c r="L53" s="29"/>
      <c r="M53" s="29"/>
      <c r="O53" s="29"/>
      <c r="P53" s="29"/>
      <c r="Q53" s="29"/>
      <c r="R53" s="29"/>
      <c r="S53" s="29"/>
      <c r="T53" s="29"/>
      <c r="U53" s="29"/>
    </row>
    <row r="54" spans="2:21" x14ac:dyDescent="0.3">
      <c r="B54" s="123">
        <v>45875</v>
      </c>
      <c r="C54" s="125">
        <v>3445.7</v>
      </c>
      <c r="D54" s="35">
        <f t="shared" si="0"/>
        <v>1.8172684829501851E-2</v>
      </c>
      <c r="E54" s="29"/>
      <c r="F54" s="44">
        <v>17812.7</v>
      </c>
      <c r="G54" s="35">
        <f t="shared" si="1"/>
        <v>2.6426031888718171E-2</v>
      </c>
      <c r="H54" s="29"/>
      <c r="I54" s="29"/>
      <c r="J54" s="29"/>
      <c r="K54" s="29"/>
      <c r="L54" s="29"/>
      <c r="M54" s="29"/>
      <c r="O54" s="29"/>
      <c r="P54" s="29"/>
      <c r="Q54" s="29"/>
      <c r="R54" s="29"/>
      <c r="S54" s="29"/>
      <c r="T54" s="29"/>
      <c r="U54" s="29"/>
    </row>
    <row r="55" spans="2:21" x14ac:dyDescent="0.3">
      <c r="B55" s="123" t="s">
        <v>103</v>
      </c>
      <c r="C55" s="125">
        <v>3435.7</v>
      </c>
      <c r="D55" s="35">
        <f t="shared" si="0"/>
        <v>-2.9021679194358718E-3</v>
      </c>
      <c r="E55" s="29"/>
      <c r="F55" s="44">
        <v>18255.8</v>
      </c>
      <c r="G55" s="35">
        <f t="shared" si="1"/>
        <v>2.4875510169710235E-2</v>
      </c>
      <c r="H55" s="29"/>
      <c r="I55" s="29"/>
      <c r="J55" s="29"/>
      <c r="K55" s="29"/>
      <c r="L55" s="29"/>
      <c r="M55" s="29"/>
      <c r="O55" s="29"/>
      <c r="P55" s="29"/>
      <c r="Q55" s="29"/>
      <c r="R55" s="29"/>
      <c r="S55" s="29"/>
      <c r="T55" s="29"/>
      <c r="U55" s="29"/>
    </row>
    <row r="56" spans="2:21" x14ac:dyDescent="0.3">
      <c r="B56" s="123" t="s">
        <v>104</v>
      </c>
      <c r="C56" s="125">
        <v>3441.1</v>
      </c>
      <c r="D56" s="35">
        <f t="shared" si="0"/>
        <v>1.5717321069941281E-3</v>
      </c>
      <c r="E56" s="29"/>
      <c r="F56" s="44">
        <v>17617.2</v>
      </c>
      <c r="G56" s="35">
        <f t="shared" si="1"/>
        <v>-3.4980663679488044E-2</v>
      </c>
      <c r="H56" s="29"/>
      <c r="I56" s="29"/>
      <c r="J56" s="29"/>
      <c r="K56" s="29"/>
      <c r="L56" s="29"/>
      <c r="M56" s="29"/>
      <c r="O56" s="29"/>
      <c r="P56" s="29"/>
      <c r="Q56" s="29"/>
      <c r="R56" s="29"/>
      <c r="S56" s="29"/>
      <c r="T56" s="29"/>
      <c r="U56" s="29"/>
    </row>
    <row r="57" spans="2:21" x14ac:dyDescent="0.3">
      <c r="B57" s="123" t="s">
        <v>105</v>
      </c>
      <c r="C57" s="125">
        <v>3419.8</v>
      </c>
      <c r="D57" s="35">
        <f t="shared" si="0"/>
        <v>-6.1898811426578382E-3</v>
      </c>
      <c r="E57" s="29"/>
      <c r="F57" s="44">
        <v>17101.900000000001</v>
      </c>
      <c r="G57" s="35">
        <f t="shared" si="1"/>
        <v>-2.9249824035601502E-2</v>
      </c>
      <c r="H57" s="29"/>
      <c r="I57" s="29"/>
      <c r="J57" s="29"/>
      <c r="K57" s="29"/>
      <c r="L57" s="29"/>
      <c r="M57" s="29"/>
      <c r="O57" s="29"/>
      <c r="P57" s="29"/>
      <c r="Q57" s="29"/>
      <c r="R57" s="29"/>
      <c r="S57" s="29"/>
      <c r="T57" s="29"/>
      <c r="U57" s="29"/>
    </row>
    <row r="58" spans="2:21" x14ac:dyDescent="0.3">
      <c r="B58" s="123">
        <v>45815</v>
      </c>
      <c r="C58" s="125">
        <v>3266</v>
      </c>
      <c r="D58" s="35">
        <f t="shared" si="0"/>
        <v>-4.4973390256740187E-2</v>
      </c>
      <c r="E58" s="29"/>
      <c r="F58" s="44">
        <v>17516.3</v>
      </c>
      <c r="G58" s="35">
        <f t="shared" si="1"/>
        <v>2.4231225770235953E-2</v>
      </c>
      <c r="H58" s="29"/>
      <c r="I58" s="29"/>
      <c r="J58" s="29"/>
      <c r="K58" s="29"/>
      <c r="L58" s="29"/>
      <c r="M58" s="29"/>
      <c r="O58" s="29"/>
      <c r="P58" s="29"/>
      <c r="Q58" s="29"/>
      <c r="R58" s="29"/>
      <c r="S58" s="29"/>
      <c r="T58" s="29"/>
      <c r="U58" s="29"/>
    </row>
    <row r="59" spans="2:21" x14ac:dyDescent="0.3">
      <c r="B59" s="123" t="s">
        <v>106</v>
      </c>
      <c r="C59" s="125">
        <v>3189.9</v>
      </c>
      <c r="D59" s="35">
        <f t="shared" si="0"/>
        <v>-2.3300673606858502E-2</v>
      </c>
      <c r="E59" s="29"/>
      <c r="F59" s="44">
        <v>17374.8</v>
      </c>
      <c r="G59" s="35">
        <f t="shared" si="1"/>
        <v>-8.0781900287161257E-3</v>
      </c>
      <c r="H59" s="29"/>
      <c r="I59" s="29"/>
      <c r="J59" s="29"/>
      <c r="K59" s="29"/>
      <c r="L59" s="29"/>
      <c r="M59" s="29"/>
      <c r="O59" s="29"/>
      <c r="P59" s="29"/>
      <c r="Q59" s="29"/>
      <c r="R59" s="29"/>
      <c r="S59" s="29"/>
      <c r="T59" s="29"/>
      <c r="U59" s="29"/>
    </row>
    <row r="60" spans="2:21" x14ac:dyDescent="0.3">
      <c r="B60" s="123" t="s">
        <v>107</v>
      </c>
      <c r="C60" s="125">
        <v>3135.8</v>
      </c>
      <c r="D60" s="35">
        <f t="shared" si="0"/>
        <v>-1.6959779303426403E-2</v>
      </c>
      <c r="E60" s="29"/>
      <c r="F60" s="44">
        <v>17276.3</v>
      </c>
      <c r="G60" s="35">
        <f t="shared" si="1"/>
        <v>-5.6691300043741899E-3</v>
      </c>
      <c r="H60" s="29"/>
      <c r="I60" s="29"/>
      <c r="J60" s="29"/>
      <c r="K60" s="29"/>
      <c r="L60" s="29"/>
      <c r="M60" s="29"/>
      <c r="O60" s="29"/>
      <c r="P60" s="29"/>
      <c r="Q60" s="29"/>
      <c r="R60" s="29"/>
      <c r="S60" s="29"/>
      <c r="T60" s="29"/>
      <c r="U60" s="29"/>
    </row>
    <row r="61" spans="2:21" x14ac:dyDescent="0.3">
      <c r="B61" s="123" t="s">
        <v>108</v>
      </c>
      <c r="C61" s="125">
        <v>3003</v>
      </c>
      <c r="D61" s="35">
        <f t="shared" si="0"/>
        <v>-4.2349639645385628E-2</v>
      </c>
      <c r="E61" s="29"/>
      <c r="F61" s="44">
        <v>16658.400000000001</v>
      </c>
      <c r="G61" s="35">
        <f t="shared" si="1"/>
        <v>-3.5765760029635829E-2</v>
      </c>
      <c r="H61" s="29"/>
      <c r="I61" s="29"/>
      <c r="J61" s="29"/>
      <c r="K61" s="29"/>
      <c r="L61" s="29"/>
      <c r="M61" s="29"/>
      <c r="O61" s="29"/>
      <c r="P61" s="29"/>
      <c r="Q61" s="29"/>
      <c r="R61" s="29"/>
      <c r="S61" s="29"/>
      <c r="T61" s="29"/>
      <c r="U61" s="29"/>
    </row>
    <row r="62" spans="2:21" x14ac:dyDescent="0.3">
      <c r="B62" s="123">
        <v>45724</v>
      </c>
      <c r="C62" s="125">
        <v>3036.4</v>
      </c>
      <c r="D62" s="35">
        <f t="shared" si="0"/>
        <v>1.1122211122211123E-2</v>
      </c>
      <c r="E62" s="29"/>
      <c r="F62" s="44">
        <v>16245.3</v>
      </c>
      <c r="G62" s="35">
        <f t="shared" si="1"/>
        <v>-2.4798299956778735E-2</v>
      </c>
      <c r="H62" s="29"/>
      <c r="I62" s="29"/>
      <c r="J62" s="29"/>
      <c r="K62" s="29"/>
      <c r="L62" s="29"/>
      <c r="M62" s="29"/>
      <c r="O62" s="29"/>
      <c r="P62" s="29"/>
      <c r="Q62" s="29"/>
      <c r="R62" s="29"/>
      <c r="S62" s="29"/>
      <c r="T62" s="29"/>
      <c r="U62" s="29"/>
    </row>
    <row r="63" spans="2:21" x14ac:dyDescent="0.3">
      <c r="B63" s="123">
        <v>45938</v>
      </c>
      <c r="C63" s="125">
        <v>3022.3</v>
      </c>
      <c r="D63" s="35">
        <f t="shared" si="0"/>
        <v>-4.6436569621920443E-3</v>
      </c>
      <c r="E63" s="29"/>
      <c r="F63" s="44">
        <v>16630.400000000001</v>
      </c>
      <c r="G63" s="35">
        <f t="shared" si="1"/>
        <v>2.3705317845777119E-2</v>
      </c>
      <c r="H63" s="29"/>
      <c r="I63" s="29"/>
      <c r="J63" s="29"/>
      <c r="K63" s="29"/>
      <c r="L63" s="29"/>
      <c r="M63" s="29"/>
      <c r="O63" s="29"/>
      <c r="P63" s="29"/>
      <c r="Q63" s="29"/>
      <c r="R63" s="29"/>
      <c r="S63" s="29"/>
      <c r="T63" s="29"/>
      <c r="U63" s="29"/>
    </row>
    <row r="64" spans="2:21" x14ac:dyDescent="0.3">
      <c r="B64" s="123" t="s">
        <v>109</v>
      </c>
      <c r="C64" s="125">
        <v>3054</v>
      </c>
      <c r="D64" s="35">
        <f t="shared" si="0"/>
        <v>1.0488700658438876E-2</v>
      </c>
      <c r="E64" s="29"/>
      <c r="F64" s="44">
        <v>17287.099999999999</v>
      </c>
      <c r="G64" s="35">
        <f t="shared" si="1"/>
        <v>3.9487925726380491E-2</v>
      </c>
      <c r="H64" s="29"/>
      <c r="I64" s="29"/>
      <c r="J64" s="29"/>
      <c r="K64" s="29"/>
      <c r="L64" s="29"/>
      <c r="M64" s="29"/>
      <c r="O64" s="29"/>
      <c r="P64" s="29"/>
      <c r="Q64" s="29"/>
      <c r="R64" s="29"/>
      <c r="S64" s="29"/>
      <c r="T64" s="29"/>
      <c r="U64" s="29"/>
    </row>
    <row r="65" spans="2:21" x14ac:dyDescent="0.3">
      <c r="B65" s="123" t="s">
        <v>110</v>
      </c>
      <c r="C65" s="125">
        <v>3084.7</v>
      </c>
      <c r="D65" s="35">
        <f t="shared" si="0"/>
        <v>1.0052390307792924E-2</v>
      </c>
      <c r="E65" s="29"/>
      <c r="F65" s="44">
        <v>17153</v>
      </c>
      <c r="G65" s="35">
        <f t="shared" si="1"/>
        <v>-7.7572293791323688E-3</v>
      </c>
      <c r="H65" s="29"/>
      <c r="I65" s="29"/>
      <c r="J65" s="29"/>
      <c r="K65" s="29"/>
      <c r="L65" s="29"/>
      <c r="M65" s="29"/>
      <c r="O65" s="29"/>
      <c r="P65" s="29"/>
      <c r="Q65" s="29"/>
      <c r="R65" s="29"/>
      <c r="S65" s="29"/>
      <c r="T65" s="29"/>
      <c r="U65" s="29"/>
    </row>
    <row r="66" spans="2:21" x14ac:dyDescent="0.3">
      <c r="B66" s="123" t="s">
        <v>111</v>
      </c>
      <c r="C66" s="125">
        <v>3048.3</v>
      </c>
      <c r="D66" s="35">
        <f t="shared" si="0"/>
        <v>-1.180017505754194E-2</v>
      </c>
      <c r="E66" s="29"/>
      <c r="F66" s="44">
        <v>17670.400000000001</v>
      </c>
      <c r="G66" s="35">
        <f t="shared" si="1"/>
        <v>3.0163819739987163E-2</v>
      </c>
      <c r="H66" s="29"/>
      <c r="I66" s="29"/>
      <c r="J66" s="29"/>
      <c r="K66" s="29"/>
      <c r="L66" s="29"/>
      <c r="M66" s="29"/>
      <c r="O66" s="29"/>
      <c r="P66" s="29"/>
      <c r="Q66" s="29"/>
      <c r="R66" s="29"/>
      <c r="S66" s="29"/>
      <c r="T66" s="29"/>
      <c r="U66" s="29"/>
    </row>
    <row r="67" spans="2:21" x14ac:dyDescent="0.3">
      <c r="B67" s="123">
        <v>45847</v>
      </c>
      <c r="C67" s="125">
        <v>3133.4</v>
      </c>
      <c r="D67" s="35">
        <f t="shared" si="0"/>
        <v>2.7917199750680632E-2</v>
      </c>
      <c r="E67" s="29"/>
      <c r="F67" s="44">
        <v>17784.3</v>
      </c>
      <c r="G67" s="35">
        <f t="shared" si="1"/>
        <v>6.4458076783773244E-3</v>
      </c>
      <c r="H67" s="29"/>
      <c r="I67" s="29"/>
      <c r="J67" s="29"/>
      <c r="K67" s="29"/>
      <c r="L67" s="29"/>
      <c r="M67" s="29"/>
      <c r="O67" s="29"/>
      <c r="P67" s="29"/>
      <c r="Q67" s="29"/>
      <c r="R67" s="29"/>
      <c r="S67" s="29"/>
      <c r="T67" s="29"/>
      <c r="U67" s="29"/>
    </row>
    <row r="68" spans="2:21" x14ac:dyDescent="0.3">
      <c r="B68" s="123" t="s">
        <v>112</v>
      </c>
      <c r="C68" s="125">
        <v>3169.2</v>
      </c>
      <c r="D68" s="35">
        <f t="shared" si="0"/>
        <v>1.142528882364191E-2</v>
      </c>
      <c r="E68" s="29"/>
      <c r="F68" s="44">
        <v>17475.7</v>
      </c>
      <c r="G68" s="35">
        <f t="shared" si="1"/>
        <v>-1.7352383844177033E-2</v>
      </c>
      <c r="H68" s="29"/>
      <c r="I68" s="29"/>
      <c r="J68" s="29"/>
      <c r="K68" s="29"/>
      <c r="L68" s="29"/>
      <c r="M68" s="29"/>
      <c r="O68" s="29"/>
      <c r="P68" s="29"/>
      <c r="Q68" s="29"/>
      <c r="R68" s="29"/>
      <c r="S68" s="29"/>
      <c r="T68" s="29"/>
      <c r="U68" s="29"/>
    </row>
    <row r="69" spans="2:21" x14ac:dyDescent="0.3">
      <c r="B69" s="123" t="s">
        <v>113</v>
      </c>
      <c r="C69" s="125">
        <v>2899.1</v>
      </c>
      <c r="D69" s="35">
        <f t="shared" si="0"/>
        <v>-8.5226555597627152E-2</v>
      </c>
      <c r="E69" s="29"/>
      <c r="F69" s="44">
        <v>17171.900000000001</v>
      </c>
      <c r="G69" s="35">
        <f t="shared" si="1"/>
        <v>-1.7384139118890807E-2</v>
      </c>
      <c r="H69" s="29"/>
      <c r="I69" s="29"/>
      <c r="J69" s="29"/>
      <c r="K69" s="29"/>
      <c r="L69" s="29"/>
      <c r="M69" s="29"/>
      <c r="O69" s="29"/>
      <c r="P69" s="29"/>
      <c r="Q69" s="29"/>
      <c r="R69" s="29"/>
      <c r="S69" s="29"/>
      <c r="T69" s="29"/>
      <c r="U69" s="29"/>
    </row>
    <row r="70" spans="2:21" x14ac:dyDescent="0.3">
      <c r="B70" s="123" t="s">
        <v>114</v>
      </c>
      <c r="C70" s="125">
        <v>2901.9</v>
      </c>
      <c r="D70" s="35">
        <f t="shared" si="0"/>
        <v>9.6581697768272079E-4</v>
      </c>
      <c r="E70" s="29"/>
      <c r="F70" s="44">
        <v>17102.599999999999</v>
      </c>
      <c r="G70" s="35">
        <f t="shared" si="1"/>
        <v>-4.0356629144127076E-3</v>
      </c>
      <c r="H70" s="29"/>
      <c r="I70" s="29"/>
      <c r="J70" s="29"/>
      <c r="K70" s="29"/>
      <c r="L70" s="29"/>
      <c r="M70" s="29"/>
      <c r="O70" s="29"/>
      <c r="P70" s="29"/>
      <c r="Q70" s="29"/>
      <c r="R70" s="29"/>
      <c r="S70" s="29"/>
      <c r="T70" s="29"/>
      <c r="U70" s="29"/>
    </row>
    <row r="71" spans="2:21" x14ac:dyDescent="0.3">
      <c r="B71" s="123">
        <v>45787</v>
      </c>
      <c r="C71" s="125">
        <v>3028.3</v>
      </c>
      <c r="D71" s="35">
        <f t="shared" si="0"/>
        <v>4.355766911333947E-2</v>
      </c>
      <c r="E71" s="29"/>
      <c r="F71" s="44">
        <v>16411.3</v>
      </c>
      <c r="G71" s="35">
        <f t="shared" si="1"/>
        <v>-4.0420754739045495E-2</v>
      </c>
      <c r="H71" s="29"/>
      <c r="I71" s="29"/>
      <c r="J71" s="29"/>
      <c r="K71" s="29"/>
      <c r="L71" s="29"/>
      <c r="M71" s="29"/>
      <c r="O71" s="29"/>
      <c r="P71" s="29"/>
      <c r="Q71" s="29"/>
      <c r="R71" s="29"/>
      <c r="S71" s="29"/>
      <c r="T71" s="29"/>
      <c r="U71" s="29"/>
    </row>
    <row r="72" spans="2:21" x14ac:dyDescent="0.3">
      <c r="B72" s="123">
        <v>46001</v>
      </c>
      <c r="C72" s="125">
        <v>2962.2</v>
      </c>
      <c r="D72" s="35">
        <f t="shared" si="0"/>
        <v>-2.1827427929861809E-2</v>
      </c>
      <c r="E72" s="29"/>
      <c r="F72" s="44">
        <v>15782.2</v>
      </c>
      <c r="G72" s="35">
        <f t="shared" si="1"/>
        <v>-3.8333343488937466E-2</v>
      </c>
      <c r="H72" s="29"/>
      <c r="I72" s="29"/>
      <c r="J72" s="29"/>
      <c r="K72" s="29"/>
      <c r="L72" s="29"/>
      <c r="M72" s="29"/>
      <c r="O72" s="29"/>
      <c r="P72" s="29"/>
      <c r="Q72" s="29"/>
      <c r="R72" s="29"/>
      <c r="S72" s="29"/>
      <c r="T72" s="29"/>
      <c r="U72" s="29"/>
    </row>
    <row r="73" spans="2:21" x14ac:dyDescent="0.3">
      <c r="B73" s="123" t="s">
        <v>115</v>
      </c>
      <c r="C73" s="125">
        <v>3063.2</v>
      </c>
      <c r="D73" s="35">
        <f t="shared" si="0"/>
        <v>3.4096279792046547E-2</v>
      </c>
      <c r="E73" s="29"/>
      <c r="F73" s="44">
        <v>16266.2</v>
      </c>
      <c r="G73" s="35">
        <f t="shared" si="1"/>
        <v>3.0667460810279934E-2</v>
      </c>
      <c r="H73" s="29"/>
      <c r="I73" s="29"/>
      <c r="J73" s="29"/>
      <c r="K73" s="29"/>
      <c r="L73" s="29"/>
      <c r="M73" s="29"/>
      <c r="O73" s="29"/>
      <c r="P73" s="29"/>
      <c r="Q73" s="29"/>
      <c r="R73" s="29"/>
      <c r="S73" s="29"/>
      <c r="T73" s="29"/>
      <c r="U73" s="29"/>
    </row>
    <row r="74" spans="2:21" x14ac:dyDescent="0.3">
      <c r="B74" s="123" t="s">
        <v>116</v>
      </c>
      <c r="C74" s="125">
        <v>3058</v>
      </c>
      <c r="D74" s="35">
        <f t="shared" si="0"/>
        <v>-1.6975711674065419E-3</v>
      </c>
      <c r="E74" s="29"/>
      <c r="F74" s="44">
        <v>16352.5</v>
      </c>
      <c r="G74" s="35">
        <f t="shared" si="1"/>
        <v>5.3054800752481146E-3</v>
      </c>
      <c r="H74" s="29"/>
      <c r="I74" s="29"/>
      <c r="J74" s="29"/>
      <c r="K74" s="29"/>
      <c r="L74" s="29"/>
      <c r="M74" s="29"/>
      <c r="O74" s="29"/>
      <c r="P74" s="29"/>
      <c r="Q74" s="29"/>
      <c r="R74" s="29"/>
      <c r="S74" s="29"/>
      <c r="T74" s="29"/>
      <c r="U74" s="29"/>
    </row>
    <row r="75" spans="2:21" x14ac:dyDescent="0.3">
      <c r="B75" s="123">
        <v>45699</v>
      </c>
      <c r="C75" s="125">
        <v>2991.8</v>
      </c>
      <c r="D75" s="35">
        <f t="shared" ref="D75:D113" si="2">C75/C74-1</f>
        <v>-2.1648136036625187E-2</v>
      </c>
      <c r="E75" s="29"/>
      <c r="F75" s="44">
        <v>16584.3</v>
      </c>
      <c r="G75" s="35">
        <f t="shared" ref="G75:G113" si="3">F75/F74-1</f>
        <v>1.4175202568414536E-2</v>
      </c>
      <c r="H75" s="29"/>
      <c r="I75" s="29"/>
      <c r="J75" s="29"/>
      <c r="K75" s="29"/>
      <c r="L75" s="29"/>
      <c r="M75" s="29"/>
      <c r="O75" s="29"/>
      <c r="P75" s="29"/>
      <c r="Q75" s="29"/>
      <c r="R75" s="29"/>
      <c r="S75" s="29"/>
      <c r="T75" s="29"/>
      <c r="U75" s="29"/>
    </row>
    <row r="76" spans="2:21" x14ac:dyDescent="0.3">
      <c r="B76" s="123">
        <v>45911</v>
      </c>
      <c r="C76" s="125">
        <v>3106</v>
      </c>
      <c r="D76" s="35">
        <f t="shared" si="2"/>
        <v>3.8171000735343297E-2</v>
      </c>
      <c r="E76" s="29"/>
      <c r="F76" s="44">
        <v>16201.8</v>
      </c>
      <c r="G76" s="35">
        <f t="shared" si="3"/>
        <v>-2.3063982200032584E-2</v>
      </c>
      <c r="H76" s="29"/>
      <c r="I76" s="29"/>
      <c r="J76" s="29"/>
      <c r="K76" s="29"/>
      <c r="L76" s="29"/>
      <c r="M76" s="29"/>
      <c r="O76" s="29"/>
      <c r="P76" s="29"/>
      <c r="Q76" s="29"/>
      <c r="R76" s="29"/>
      <c r="S76" s="29"/>
      <c r="T76" s="29"/>
      <c r="U76" s="29"/>
    </row>
    <row r="77" spans="2:21" x14ac:dyDescent="0.3">
      <c r="B77" s="123" t="s">
        <v>117</v>
      </c>
      <c r="C77" s="125">
        <v>3150.6</v>
      </c>
      <c r="D77" s="35">
        <f t="shared" si="2"/>
        <v>1.4359304571796461E-2</v>
      </c>
      <c r="E77" s="29"/>
      <c r="F77" s="44">
        <v>15293.5</v>
      </c>
      <c r="G77" s="35">
        <f t="shared" si="3"/>
        <v>-5.6061672159883447E-2</v>
      </c>
      <c r="H77" s="29"/>
      <c r="I77" s="29"/>
      <c r="J77" s="29"/>
      <c r="K77" s="29"/>
      <c r="L77" s="29"/>
      <c r="M77" s="29"/>
      <c r="O77" s="29"/>
      <c r="P77" s="29"/>
      <c r="Q77" s="29"/>
      <c r="R77" s="29"/>
      <c r="S77" s="29"/>
      <c r="T77" s="29"/>
      <c r="U77" s="29"/>
    </row>
    <row r="78" spans="2:21" x14ac:dyDescent="0.3">
      <c r="B78" s="123" t="s">
        <v>118</v>
      </c>
      <c r="C78" s="125">
        <v>3137.5</v>
      </c>
      <c r="D78" s="35">
        <f t="shared" si="2"/>
        <v>-4.1579381705071361E-3</v>
      </c>
      <c r="E78" s="29"/>
      <c r="F78" s="44">
        <v>15699.3</v>
      </c>
      <c r="G78" s="35">
        <f t="shared" si="3"/>
        <v>2.6534148494458343E-2</v>
      </c>
      <c r="H78" s="29"/>
      <c r="I78" s="29"/>
      <c r="J78" s="29"/>
      <c r="K78" s="29"/>
      <c r="L78" s="29"/>
      <c r="M78" s="29"/>
      <c r="O78" s="29"/>
      <c r="P78" s="29"/>
      <c r="Q78" s="29"/>
      <c r="R78" s="29"/>
      <c r="S78" s="29"/>
      <c r="T78" s="29"/>
      <c r="U78" s="29"/>
    </row>
    <row r="79" spans="2:21" x14ac:dyDescent="0.3">
      <c r="B79" s="123" t="s">
        <v>119</v>
      </c>
      <c r="C79" s="125">
        <v>3238.2</v>
      </c>
      <c r="D79" s="35">
        <f t="shared" si="2"/>
        <v>3.2095617529880327E-2</v>
      </c>
      <c r="E79" s="29"/>
      <c r="F79" s="44">
        <v>15752</v>
      </c>
      <c r="G79" s="35">
        <f t="shared" si="3"/>
        <v>3.3568375660062433E-3</v>
      </c>
      <c r="H79" s="29"/>
      <c r="I79" s="29"/>
      <c r="J79" s="29"/>
      <c r="K79" s="29"/>
      <c r="L79" s="29"/>
      <c r="M79" s="29"/>
      <c r="O79" s="29"/>
      <c r="P79" s="29"/>
      <c r="Q79" s="29"/>
      <c r="R79" s="29"/>
      <c r="S79" s="29"/>
      <c r="T79" s="29"/>
      <c r="U79" s="29"/>
    </row>
    <row r="80" spans="2:21" x14ac:dyDescent="0.3">
      <c r="B80" s="123">
        <v>45850</v>
      </c>
      <c r="C80" s="125">
        <v>3220.5</v>
      </c>
      <c r="D80" s="35">
        <f t="shared" si="2"/>
        <v>-5.4659996294237345E-3</v>
      </c>
      <c r="E80" s="29"/>
      <c r="F80" s="44">
        <v>16220.6</v>
      </c>
      <c r="G80" s="35">
        <f t="shared" si="3"/>
        <v>2.9748603351955394E-2</v>
      </c>
      <c r="H80" s="29"/>
      <c r="I80" s="29"/>
      <c r="J80" s="29"/>
      <c r="K80" s="29"/>
      <c r="L80" s="29"/>
      <c r="M80" s="29"/>
      <c r="O80" s="29"/>
      <c r="P80" s="29"/>
      <c r="Q80" s="29"/>
      <c r="R80" s="29"/>
      <c r="S80" s="29"/>
      <c r="T80" s="29"/>
      <c r="U80" s="29"/>
    </row>
    <row r="81" spans="2:21" x14ac:dyDescent="0.3">
      <c r="B81" s="123" t="s">
        <v>120</v>
      </c>
      <c r="C81" s="125">
        <v>3282</v>
      </c>
      <c r="D81" s="35">
        <f t="shared" si="2"/>
        <v>1.9096413600372619E-2</v>
      </c>
      <c r="E81" s="29"/>
      <c r="F81" s="44">
        <v>16049.2</v>
      </c>
      <c r="G81" s="35">
        <f t="shared" si="3"/>
        <v>-1.0566810105668067E-2</v>
      </c>
      <c r="H81" s="29"/>
      <c r="I81" s="29"/>
      <c r="J81" s="29"/>
      <c r="K81" s="29"/>
      <c r="L81" s="29"/>
      <c r="M81" s="29"/>
      <c r="O81" s="29"/>
      <c r="P81" s="29"/>
      <c r="Q81" s="29"/>
      <c r="R81" s="29"/>
      <c r="S81" s="29"/>
      <c r="T81" s="29"/>
      <c r="U81" s="29"/>
    </row>
    <row r="82" spans="2:21" x14ac:dyDescent="0.3">
      <c r="B82" s="123" t="s">
        <v>121</v>
      </c>
      <c r="C82" s="125">
        <v>3232.74</v>
      </c>
      <c r="D82" s="35">
        <f t="shared" si="2"/>
        <v>-1.5009140767824558E-2</v>
      </c>
      <c r="E82" s="29"/>
      <c r="F82" s="44">
        <v>16719.400000000001</v>
      </c>
      <c r="G82" s="35">
        <f t="shared" si="3"/>
        <v>4.1759090795802978E-2</v>
      </c>
      <c r="H82" s="29"/>
      <c r="I82" s="29"/>
      <c r="J82" s="29"/>
      <c r="K82" s="29"/>
      <c r="L82" s="29"/>
      <c r="M82" s="29"/>
      <c r="O82" s="29"/>
      <c r="P82" s="29"/>
      <c r="Q82" s="29"/>
      <c r="R82" s="29"/>
      <c r="S82" s="29"/>
      <c r="T82" s="29"/>
      <c r="U82" s="29"/>
    </row>
    <row r="83" spans="2:21" x14ac:dyDescent="0.3">
      <c r="B83" s="123" t="s">
        <v>122</v>
      </c>
      <c r="C83" s="125">
        <v>3203.86</v>
      </c>
      <c r="D83" s="35">
        <f t="shared" si="2"/>
        <v>-8.9335981241918105E-3</v>
      </c>
      <c r="E83" s="29"/>
      <c r="F83" s="44">
        <v>17158.3</v>
      </c>
      <c r="G83" s="35">
        <f t="shared" si="3"/>
        <v>2.625094201945033E-2</v>
      </c>
      <c r="H83" s="29"/>
      <c r="I83" s="29"/>
      <c r="J83" s="29"/>
      <c r="K83" s="29"/>
      <c r="L83" s="29"/>
      <c r="M83" s="29"/>
      <c r="O83" s="29"/>
      <c r="P83" s="29"/>
      <c r="Q83" s="29"/>
      <c r="R83" s="29"/>
      <c r="S83" s="29"/>
      <c r="T83" s="29"/>
      <c r="U83" s="29"/>
    </row>
    <row r="84" spans="2:21" x14ac:dyDescent="0.3">
      <c r="B84" s="123">
        <v>46113</v>
      </c>
      <c r="C84" s="125">
        <v>3161.58</v>
      </c>
      <c r="D84" s="35">
        <f t="shared" si="2"/>
        <v>-1.3196581623416859E-2</v>
      </c>
      <c r="E84" s="29"/>
      <c r="F84" s="44">
        <v>17397.5</v>
      </c>
      <c r="G84" s="35">
        <f t="shared" si="3"/>
        <v>1.3940775018504103E-2</v>
      </c>
      <c r="H84" s="29"/>
      <c r="I84" s="29"/>
      <c r="J84" s="29"/>
      <c r="K84" s="29"/>
      <c r="L84" s="29"/>
      <c r="M84" s="29"/>
      <c r="O84" s="29"/>
      <c r="P84" s="29"/>
      <c r="Q84" s="29"/>
      <c r="R84" s="29"/>
      <c r="S84" s="29"/>
      <c r="T84" s="29"/>
      <c r="U84" s="29"/>
    </row>
    <row r="85" spans="2:21" x14ac:dyDescent="0.3">
      <c r="B85" s="123">
        <v>46327</v>
      </c>
      <c r="C85" s="125">
        <v>3206.7</v>
      </c>
      <c r="D85" s="35">
        <f t="shared" si="2"/>
        <v>1.4271345339988306E-2</v>
      </c>
      <c r="E85" s="29"/>
      <c r="F85" s="44">
        <v>17698.2</v>
      </c>
      <c r="G85" s="35">
        <f t="shared" si="3"/>
        <v>1.7284092542031892E-2</v>
      </c>
      <c r="H85" s="29"/>
      <c r="I85" s="29"/>
      <c r="J85" s="29"/>
      <c r="K85" s="29"/>
      <c r="L85" s="29"/>
      <c r="M85" s="29"/>
      <c r="O85" s="29"/>
      <c r="P85" s="29"/>
      <c r="Q85" s="29"/>
      <c r="R85" s="29"/>
      <c r="S85" s="29"/>
      <c r="T85" s="29"/>
      <c r="U85" s="29"/>
    </row>
    <row r="86" spans="2:21" x14ac:dyDescent="0.3">
      <c r="B86" s="123" t="s">
        <v>123</v>
      </c>
      <c r="C86" s="125">
        <v>3162.5</v>
      </c>
      <c r="D86" s="35">
        <f t="shared" si="2"/>
        <v>-1.3783640502697425E-2</v>
      </c>
      <c r="E86" s="29"/>
      <c r="F86" s="44">
        <v>17758.400000000001</v>
      </c>
      <c r="G86" s="35">
        <f t="shared" si="3"/>
        <v>3.4014758563019054E-3</v>
      </c>
      <c r="H86" s="29"/>
      <c r="I86" s="29"/>
      <c r="J86" s="29"/>
      <c r="K86" s="29"/>
      <c r="L86" s="29"/>
      <c r="M86" s="29"/>
      <c r="O86" s="29"/>
      <c r="P86" s="29"/>
      <c r="Q86" s="29"/>
      <c r="R86" s="29"/>
      <c r="S86" s="29"/>
      <c r="T86" s="29"/>
      <c r="U86" s="29"/>
    </row>
    <row r="87" spans="2:21" x14ac:dyDescent="0.3">
      <c r="B87" s="123" t="s">
        <v>124</v>
      </c>
      <c r="C87" s="125">
        <v>3123.9</v>
      </c>
      <c r="D87" s="35">
        <f t="shared" si="2"/>
        <v>-1.2205533596837959E-2</v>
      </c>
      <c r="E87" s="29"/>
      <c r="F87" s="44">
        <v>17558.900000000001</v>
      </c>
      <c r="G87" s="35">
        <f t="shared" si="3"/>
        <v>-1.1234120191008223E-2</v>
      </c>
      <c r="H87" s="29"/>
      <c r="I87" s="29"/>
      <c r="J87" s="29"/>
      <c r="K87" s="29"/>
      <c r="L87" s="29"/>
      <c r="M87" s="29"/>
      <c r="O87" s="29"/>
      <c r="P87" s="29"/>
      <c r="Q87" s="29"/>
      <c r="R87" s="29"/>
      <c r="S87" s="29"/>
      <c r="T87" s="29"/>
      <c r="U87" s="29"/>
    </row>
    <row r="88" spans="2:21" x14ac:dyDescent="0.3">
      <c r="B88" s="123">
        <v>46024</v>
      </c>
      <c r="C88" s="125">
        <v>2941.6</v>
      </c>
      <c r="D88" s="35">
        <f t="shared" si="2"/>
        <v>-5.8356541502608938E-2</v>
      </c>
      <c r="E88" s="29"/>
      <c r="F88" s="44">
        <v>17539.400000000001</v>
      </c>
      <c r="G88" s="35">
        <f t="shared" si="3"/>
        <v>-1.1105479272619512E-3</v>
      </c>
      <c r="H88" s="29"/>
      <c r="I88" s="29"/>
      <c r="J88" s="29"/>
      <c r="K88" s="29"/>
      <c r="L88" s="29"/>
      <c r="M88" s="29"/>
      <c r="O88" s="29"/>
      <c r="P88" s="29"/>
      <c r="Q88" s="29"/>
      <c r="R88" s="29"/>
      <c r="S88" s="29"/>
      <c r="T88" s="29"/>
      <c r="U88" s="29"/>
    </row>
    <row r="89" spans="2:21" x14ac:dyDescent="0.3">
      <c r="B89" s="123">
        <v>46236</v>
      </c>
      <c r="C89" s="125">
        <v>2692.2</v>
      </c>
      <c r="D89" s="35">
        <f t="shared" si="2"/>
        <v>-8.4783791134076747E-2</v>
      </c>
      <c r="E89" s="29"/>
      <c r="F89" s="44">
        <v>17833.3</v>
      </c>
      <c r="G89" s="35">
        <f t="shared" si="3"/>
        <v>1.675655951742927E-2</v>
      </c>
      <c r="H89" s="29"/>
      <c r="I89" s="29"/>
      <c r="J89" s="29"/>
      <c r="K89" s="29"/>
      <c r="L89" s="29"/>
      <c r="M89" s="29"/>
      <c r="O89" s="29"/>
      <c r="P89" s="29"/>
      <c r="Q89" s="29"/>
      <c r="R89" s="29"/>
      <c r="S89" s="29"/>
      <c r="T89" s="29"/>
      <c r="U89" s="29"/>
    </row>
    <row r="90" spans="2:21" x14ac:dyDescent="0.3">
      <c r="B90" s="123" t="s">
        <v>125</v>
      </c>
      <c r="C90" s="125">
        <v>2686.2</v>
      </c>
      <c r="D90" s="35">
        <f t="shared" si="2"/>
        <v>-2.2286605749943789E-3</v>
      </c>
      <c r="E90" s="29"/>
      <c r="F90" s="44">
        <v>17530.8</v>
      </c>
      <c r="G90" s="35">
        <f t="shared" si="3"/>
        <v>-1.6962648528314972E-2</v>
      </c>
      <c r="H90" s="29"/>
      <c r="I90" s="29"/>
      <c r="J90" s="29"/>
      <c r="K90" s="29"/>
      <c r="L90" s="29"/>
      <c r="M90" s="29"/>
      <c r="O90" s="29"/>
      <c r="P90" s="29"/>
      <c r="Q90" s="29"/>
      <c r="R90" s="29"/>
      <c r="S90" s="29"/>
      <c r="T90" s="29"/>
      <c r="U90" s="29"/>
    </row>
    <row r="91" spans="2:21" x14ac:dyDescent="0.3">
      <c r="B91" s="123" t="s">
        <v>126</v>
      </c>
      <c r="C91" s="125">
        <v>2637.4</v>
      </c>
      <c r="D91" s="35">
        <f t="shared" si="2"/>
        <v>-1.8166927257836196E-2</v>
      </c>
      <c r="E91" s="29"/>
      <c r="F91" s="44">
        <v>17327.3</v>
      </c>
      <c r="G91" s="35">
        <f t="shared" si="3"/>
        <v>-1.1608141100235003E-2</v>
      </c>
      <c r="H91" s="29"/>
      <c r="I91" s="29"/>
      <c r="J91" s="29"/>
      <c r="K91" s="29"/>
      <c r="L91" s="29"/>
      <c r="M91" s="29"/>
      <c r="O91" s="29"/>
      <c r="P91" s="29"/>
      <c r="Q91" s="29"/>
      <c r="R91" s="29"/>
      <c r="S91" s="29"/>
      <c r="T91" s="29"/>
      <c r="U91" s="29"/>
    </row>
    <row r="92" spans="2:21" x14ac:dyDescent="0.3">
      <c r="B92" s="123">
        <v>46025</v>
      </c>
      <c r="C92" s="125">
        <v>2557.6</v>
      </c>
      <c r="D92" s="35">
        <f t="shared" si="2"/>
        <v>-3.0257071358155807E-2</v>
      </c>
      <c r="E92" s="29"/>
      <c r="F92" s="44">
        <v>17094.3</v>
      </c>
      <c r="G92" s="35">
        <f t="shared" si="3"/>
        <v>-1.3446988278612348E-2</v>
      </c>
      <c r="H92" s="29"/>
      <c r="I92" s="29"/>
      <c r="J92" s="29"/>
      <c r="K92" s="29"/>
      <c r="L92" s="29"/>
      <c r="M92" s="29"/>
      <c r="O92" s="29"/>
      <c r="P92" s="29"/>
      <c r="Q92" s="29"/>
      <c r="R92" s="29"/>
      <c r="S92" s="29"/>
      <c r="T92" s="29"/>
      <c r="U92" s="29"/>
    </row>
    <row r="93" spans="2:21" x14ac:dyDescent="0.3">
      <c r="B93" s="123">
        <v>46237</v>
      </c>
      <c r="C93" s="125">
        <v>2410.5</v>
      </c>
      <c r="D93" s="35">
        <f t="shared" si="2"/>
        <v>-5.751485767907405E-2</v>
      </c>
      <c r="E93" s="29"/>
      <c r="F93" s="44">
        <v>17314.7</v>
      </c>
      <c r="G93" s="35">
        <f t="shared" si="3"/>
        <v>1.289318661776151E-2</v>
      </c>
      <c r="H93" s="29"/>
      <c r="I93" s="29"/>
      <c r="J93" s="29"/>
      <c r="K93" s="29"/>
      <c r="L93" s="29"/>
      <c r="M93" s="29"/>
      <c r="O93" s="29"/>
      <c r="P93" s="29"/>
      <c r="Q93" s="29"/>
      <c r="R93" s="29"/>
      <c r="S93" s="29"/>
      <c r="T93" s="29"/>
      <c r="U93" s="29"/>
    </row>
    <row r="94" spans="2:21" x14ac:dyDescent="0.3">
      <c r="B94" s="123" t="s">
        <v>127</v>
      </c>
      <c r="C94" s="125">
        <v>2390.6</v>
      </c>
      <c r="D94" s="35">
        <f t="shared" si="2"/>
        <v>-8.2555486413607992E-3</v>
      </c>
      <c r="E94" s="29"/>
      <c r="F94" s="44">
        <v>17185.7</v>
      </c>
      <c r="G94" s="35">
        <f t="shared" si="3"/>
        <v>-7.4503167828492423E-3</v>
      </c>
      <c r="H94" s="29"/>
      <c r="I94" s="29"/>
      <c r="J94" s="29"/>
      <c r="K94" s="29"/>
      <c r="L94" s="29"/>
      <c r="M94" s="29"/>
      <c r="O94" s="29"/>
      <c r="P94" s="29"/>
      <c r="Q94" s="29"/>
      <c r="R94" s="29"/>
      <c r="S94" s="29"/>
      <c r="T94" s="29"/>
      <c r="U94" s="29"/>
    </row>
    <row r="95" spans="2:21" x14ac:dyDescent="0.3">
      <c r="B95" s="123" t="s">
        <v>128</v>
      </c>
      <c r="C95" s="125">
        <v>2389.8000000000002</v>
      </c>
      <c r="D95" s="35">
        <f t="shared" si="2"/>
        <v>-3.3464402242100455E-4</v>
      </c>
      <c r="E95" s="29"/>
      <c r="F95" s="44">
        <v>17576.3</v>
      </c>
      <c r="G95" s="35">
        <f t="shared" si="3"/>
        <v>2.2728198444055048E-2</v>
      </c>
      <c r="H95" s="29"/>
      <c r="I95" s="29"/>
      <c r="J95" s="29"/>
      <c r="K95" s="29"/>
      <c r="L95" s="29"/>
      <c r="M95" s="29"/>
      <c r="O95" s="29"/>
      <c r="P95" s="29"/>
      <c r="Q95" s="29"/>
      <c r="R95" s="29"/>
      <c r="S95" s="29"/>
      <c r="T95" s="29"/>
      <c r="U95" s="29"/>
    </row>
    <row r="96" spans="2:21" x14ac:dyDescent="0.3">
      <c r="B96" s="123" t="s">
        <v>129</v>
      </c>
      <c r="C96" s="125">
        <v>2450.6999999999998</v>
      </c>
      <c r="D96" s="35">
        <f t="shared" si="2"/>
        <v>2.5483304042179133E-2</v>
      </c>
      <c r="E96" s="29"/>
      <c r="F96" s="44">
        <v>17786.8</v>
      </c>
      <c r="G96" s="35">
        <f t="shared" si="3"/>
        <v>1.1976354522851729E-2</v>
      </c>
      <c r="H96" s="29"/>
      <c r="I96" s="29"/>
      <c r="J96" s="29"/>
      <c r="K96" s="29"/>
      <c r="L96" s="29"/>
      <c r="M96" s="29"/>
      <c r="O96" s="29"/>
      <c r="P96" s="29"/>
      <c r="Q96" s="29"/>
      <c r="R96" s="29"/>
      <c r="S96" s="29"/>
      <c r="T96" s="29"/>
      <c r="U96" s="29"/>
    </row>
    <row r="97" spans="2:21" x14ac:dyDescent="0.3">
      <c r="B97" s="123">
        <v>46146</v>
      </c>
      <c r="C97" s="125">
        <v>2524.3000000000002</v>
      </c>
      <c r="D97" s="35">
        <f t="shared" si="2"/>
        <v>3.003223568776292E-2</v>
      </c>
      <c r="E97" s="29"/>
      <c r="F97" s="44">
        <v>18117.2</v>
      </c>
      <c r="G97" s="35">
        <f t="shared" si="3"/>
        <v>1.8575572896754933E-2</v>
      </c>
      <c r="H97" s="29"/>
      <c r="I97" s="29"/>
      <c r="J97" s="29"/>
      <c r="K97" s="29"/>
      <c r="L97" s="29"/>
      <c r="M97" s="29"/>
      <c r="O97" s="29"/>
      <c r="P97" s="29"/>
      <c r="Q97" s="29"/>
      <c r="R97" s="29"/>
      <c r="S97" s="29"/>
      <c r="T97" s="29"/>
      <c r="U97" s="29"/>
    </row>
    <row r="98" spans="2:21" x14ac:dyDescent="0.3">
      <c r="B98" s="123">
        <v>46360</v>
      </c>
      <c r="C98" s="125">
        <v>2581.5</v>
      </c>
      <c r="D98" s="35">
        <f t="shared" si="2"/>
        <v>2.2659747256665197E-2</v>
      </c>
      <c r="E98" s="29"/>
      <c r="F98" s="44">
        <v>18349.7</v>
      </c>
      <c r="G98" s="35">
        <f t="shared" si="3"/>
        <v>1.2833108868920196E-2</v>
      </c>
      <c r="H98" s="29"/>
      <c r="I98" s="29"/>
      <c r="J98" s="29"/>
      <c r="K98" s="29"/>
      <c r="L98" s="29"/>
      <c r="M98" s="29"/>
      <c r="O98" s="29"/>
      <c r="P98" s="29"/>
      <c r="Q98" s="29"/>
      <c r="R98" s="29"/>
      <c r="S98" s="29"/>
      <c r="T98" s="29"/>
      <c r="U98" s="29"/>
    </row>
    <row r="99" spans="2:21" x14ac:dyDescent="0.3">
      <c r="B99" s="123" t="s">
        <v>130</v>
      </c>
      <c r="C99" s="125">
        <v>2396.9</v>
      </c>
      <c r="D99" s="35">
        <f t="shared" si="2"/>
        <v>-7.1508812705791125E-2</v>
      </c>
      <c r="E99" s="29"/>
      <c r="F99" s="44">
        <v>18307.7</v>
      </c>
      <c r="G99" s="35">
        <f t="shared" si="3"/>
        <v>-2.2888657580233396E-3</v>
      </c>
      <c r="H99" s="29"/>
      <c r="I99" s="29"/>
      <c r="J99" s="29"/>
      <c r="K99" s="29"/>
      <c r="L99" s="29"/>
      <c r="M99" s="29"/>
      <c r="O99" s="29"/>
      <c r="P99" s="29"/>
      <c r="Q99" s="29"/>
      <c r="R99" s="29"/>
      <c r="S99" s="29"/>
      <c r="T99" s="29"/>
      <c r="U99" s="29"/>
    </row>
    <row r="100" spans="2:21" x14ac:dyDescent="0.3">
      <c r="B100" s="123" t="s">
        <v>131</v>
      </c>
      <c r="C100" s="125">
        <v>2473.9</v>
      </c>
      <c r="D100" s="35">
        <f t="shared" si="2"/>
        <v>3.2124827902707764E-2</v>
      </c>
      <c r="E100" s="29"/>
      <c r="F100" s="44">
        <v>18512.8</v>
      </c>
      <c r="G100" s="35">
        <f t="shared" si="3"/>
        <v>1.1202936469354441E-2</v>
      </c>
      <c r="H100" s="29"/>
      <c r="I100" s="29"/>
      <c r="J100" s="29"/>
      <c r="K100" s="29"/>
      <c r="L100" s="29"/>
      <c r="M100" s="29"/>
      <c r="O100" s="29"/>
      <c r="P100" s="29"/>
      <c r="Q100" s="29"/>
      <c r="R100" s="29"/>
      <c r="S100" s="29"/>
      <c r="T100" s="29"/>
      <c r="U100" s="29"/>
    </row>
    <row r="101" spans="2:21" x14ac:dyDescent="0.3">
      <c r="B101" s="123">
        <v>46086</v>
      </c>
      <c r="C101" s="125">
        <v>2394.4</v>
      </c>
      <c r="D101" s="35">
        <f t="shared" si="2"/>
        <v>-3.2135494563240274E-2</v>
      </c>
      <c r="E101" s="29"/>
      <c r="F101" s="44">
        <v>18696.099999999999</v>
      </c>
      <c r="G101" s="35">
        <f t="shared" si="3"/>
        <v>9.9012575083186061E-3</v>
      </c>
      <c r="H101" s="29"/>
      <c r="I101" s="29"/>
      <c r="J101" s="29"/>
      <c r="K101" s="29"/>
      <c r="L101" s="29"/>
      <c r="M101" s="29"/>
      <c r="O101" s="29"/>
      <c r="P101" s="29"/>
      <c r="Q101" s="29"/>
      <c r="R101" s="29"/>
      <c r="S101" s="29"/>
      <c r="T101" s="29"/>
      <c r="U101" s="29"/>
    </row>
    <row r="102" spans="2:21" x14ac:dyDescent="0.3">
      <c r="B102" s="123">
        <v>46300</v>
      </c>
      <c r="C102" s="125">
        <v>2264</v>
      </c>
      <c r="D102" s="35">
        <f t="shared" si="2"/>
        <v>-5.446040761777482E-2</v>
      </c>
      <c r="E102" s="29"/>
      <c r="F102" s="44">
        <v>18496.599999999999</v>
      </c>
      <c r="G102" s="35">
        <f t="shared" si="3"/>
        <v>-1.0670674632677457E-2</v>
      </c>
      <c r="H102" s="29"/>
      <c r="I102" s="29"/>
      <c r="J102" s="29"/>
      <c r="K102" s="29"/>
      <c r="L102" s="29"/>
      <c r="M102" s="29"/>
      <c r="O102" s="29"/>
      <c r="P102" s="29"/>
      <c r="Q102" s="29"/>
      <c r="R102" s="29"/>
      <c r="S102" s="29"/>
      <c r="T102" s="29"/>
      <c r="U102" s="29"/>
    </row>
    <row r="103" spans="2:21" x14ac:dyDescent="0.3">
      <c r="B103" s="123" t="s">
        <v>132</v>
      </c>
      <c r="C103" s="125">
        <v>2317.3000000000002</v>
      </c>
      <c r="D103" s="35">
        <f t="shared" si="2"/>
        <v>2.3542402826855158E-2</v>
      </c>
      <c r="E103" s="29"/>
      <c r="F103" s="44">
        <v>18269</v>
      </c>
      <c r="G103" s="35">
        <f t="shared" si="3"/>
        <v>-1.2304964155574472E-2</v>
      </c>
      <c r="H103" s="29"/>
      <c r="I103" s="29"/>
      <c r="J103" s="29"/>
      <c r="K103" s="29"/>
      <c r="L103" s="29"/>
      <c r="M103" s="29"/>
      <c r="O103" s="29"/>
      <c r="P103" s="29"/>
      <c r="Q103" s="29"/>
      <c r="R103" s="29"/>
      <c r="S103" s="29"/>
      <c r="T103" s="29"/>
      <c r="U103" s="29"/>
    </row>
    <row r="104" spans="2:21" x14ac:dyDescent="0.3">
      <c r="B104" s="123" t="s">
        <v>133</v>
      </c>
      <c r="C104" s="125">
        <v>2258.9</v>
      </c>
      <c r="D104" s="35">
        <f t="shared" si="2"/>
        <v>-2.5201743408276966E-2</v>
      </c>
      <c r="E104" s="29"/>
      <c r="F104" s="44">
        <v>17806.8</v>
      </c>
      <c r="G104" s="35">
        <f t="shared" si="3"/>
        <v>-2.5299687996058973E-2</v>
      </c>
      <c r="H104" s="29"/>
      <c r="I104" s="29"/>
      <c r="J104" s="29"/>
      <c r="K104" s="29"/>
      <c r="L104" s="29"/>
      <c r="M104" s="29"/>
      <c r="O104" s="29"/>
      <c r="P104" s="29"/>
      <c r="Q104" s="29"/>
      <c r="R104" s="29"/>
      <c r="S104" s="29"/>
      <c r="T104" s="29"/>
      <c r="U104" s="29"/>
    </row>
    <row r="105" spans="2:21" x14ac:dyDescent="0.3">
      <c r="B105" s="123" t="s">
        <v>134</v>
      </c>
      <c r="C105" s="125">
        <v>2198.9</v>
      </c>
      <c r="D105" s="35">
        <f t="shared" si="2"/>
        <v>-2.6561600779140271E-2</v>
      </c>
      <c r="E105" s="29"/>
      <c r="F105" s="44">
        <v>18105.3</v>
      </c>
      <c r="G105" s="35">
        <f t="shared" si="3"/>
        <v>1.6763258979715534E-2</v>
      </c>
      <c r="H105" s="29"/>
      <c r="I105" s="29"/>
      <c r="J105" s="29"/>
      <c r="K105" s="29"/>
      <c r="L105" s="29"/>
      <c r="M105" s="29"/>
      <c r="O105" s="29"/>
      <c r="P105" s="29"/>
      <c r="Q105" s="29"/>
      <c r="R105" s="29"/>
      <c r="S105" s="29"/>
      <c r="T105" s="29"/>
      <c r="U105" s="29"/>
    </row>
    <row r="106" spans="2:21" x14ac:dyDescent="0.3">
      <c r="B106" s="123">
        <v>46209</v>
      </c>
      <c r="C106" s="125">
        <v>2161.4</v>
      </c>
      <c r="D106" s="35">
        <f t="shared" si="2"/>
        <v>-1.7053981536222618E-2</v>
      </c>
      <c r="E106" s="29"/>
      <c r="F106" s="44">
        <v>17859.400000000001</v>
      </c>
      <c r="G106" s="35">
        <f t="shared" si="3"/>
        <v>-1.3581658409415942E-2</v>
      </c>
      <c r="H106" s="29"/>
      <c r="I106" s="29"/>
      <c r="J106" s="29"/>
      <c r="K106" s="29"/>
      <c r="L106" s="29"/>
      <c r="M106" s="29"/>
      <c r="O106" s="29"/>
      <c r="P106" s="29"/>
      <c r="Q106" s="29"/>
      <c r="R106" s="29"/>
      <c r="S106" s="29"/>
      <c r="T106" s="29"/>
      <c r="U106" s="29"/>
    </row>
    <row r="107" spans="2:21" x14ac:dyDescent="0.3">
      <c r="B107" s="123" t="s">
        <v>135</v>
      </c>
      <c r="C107" s="125">
        <v>2125</v>
      </c>
      <c r="D107" s="35">
        <f t="shared" si="2"/>
        <v>-1.6840936430091658E-2</v>
      </c>
      <c r="E107" s="29"/>
      <c r="F107" s="44">
        <v>17956.599999999999</v>
      </c>
      <c r="G107" s="35">
        <f t="shared" si="3"/>
        <v>5.4425120664747251E-3</v>
      </c>
      <c r="H107" s="29"/>
      <c r="I107" s="29"/>
      <c r="J107" s="29"/>
      <c r="K107" s="29"/>
      <c r="L107" s="29"/>
      <c r="M107" s="29"/>
      <c r="O107" s="29"/>
      <c r="P107" s="29"/>
      <c r="Q107" s="29"/>
      <c r="R107" s="29"/>
      <c r="S107" s="29"/>
      <c r="T107" s="29"/>
      <c r="U107" s="29"/>
    </row>
    <row r="108" spans="2:21" x14ac:dyDescent="0.3">
      <c r="B108" s="123" t="s">
        <v>136</v>
      </c>
      <c r="C108" s="125">
        <v>2094.6999999999998</v>
      </c>
      <c r="D108" s="35">
        <f t="shared" si="2"/>
        <v>-1.4258823529411879E-2</v>
      </c>
      <c r="E108" s="29"/>
      <c r="F108" s="44">
        <v>18027.7</v>
      </c>
      <c r="G108" s="35">
        <f t="shared" si="3"/>
        <v>3.9595469075439649E-3</v>
      </c>
      <c r="H108" s="29"/>
      <c r="I108" s="29"/>
      <c r="J108" s="29"/>
      <c r="K108" s="29"/>
      <c r="L108" s="29"/>
      <c r="M108" s="29"/>
      <c r="O108" s="29"/>
      <c r="P108" s="29"/>
      <c r="Q108" s="29"/>
      <c r="R108" s="29"/>
      <c r="S108" s="29"/>
      <c r="T108" s="29"/>
      <c r="U108" s="29"/>
    </row>
    <row r="109" spans="2:21" x14ac:dyDescent="0.3">
      <c r="B109" s="123" t="s">
        <v>137</v>
      </c>
      <c r="C109" s="125">
        <v>2093.5</v>
      </c>
      <c r="D109" s="35">
        <f t="shared" si="2"/>
        <v>-5.7287439728825884E-4</v>
      </c>
      <c r="E109" s="29"/>
      <c r="F109" s="44">
        <v>17604.3</v>
      </c>
      <c r="G109" s="35">
        <f t="shared" si="3"/>
        <v>-2.3486079755043687E-2</v>
      </c>
      <c r="H109" s="29"/>
      <c r="I109" s="29"/>
      <c r="J109" s="29"/>
      <c r="K109" s="29"/>
      <c r="L109" s="29"/>
      <c r="M109" s="29"/>
      <c r="O109" s="29"/>
      <c r="P109" s="29"/>
      <c r="Q109" s="29"/>
      <c r="R109" s="29"/>
      <c r="S109" s="29"/>
      <c r="T109" s="29"/>
      <c r="U109" s="29"/>
    </row>
    <row r="110" spans="2:21" x14ac:dyDescent="0.3">
      <c r="B110" s="123">
        <v>46149</v>
      </c>
      <c r="C110" s="125">
        <v>2069</v>
      </c>
      <c r="D110" s="35">
        <f t="shared" si="2"/>
        <v>-1.1702889897301172E-2</v>
      </c>
      <c r="E110" s="29"/>
      <c r="F110" s="44">
        <v>17854.099999999999</v>
      </c>
      <c r="G110" s="35">
        <f t="shared" si="3"/>
        <v>1.4189715012809412E-2</v>
      </c>
      <c r="H110" s="29"/>
      <c r="I110" s="29"/>
      <c r="J110" s="29"/>
      <c r="K110" s="29"/>
      <c r="L110" s="29"/>
      <c r="M110" s="29"/>
      <c r="O110" s="29"/>
      <c r="P110" s="29"/>
      <c r="Q110" s="29"/>
      <c r="R110" s="29"/>
      <c r="S110" s="29"/>
      <c r="T110" s="29"/>
      <c r="U110" s="29"/>
    </row>
    <row r="111" spans="2:21" x14ac:dyDescent="0.3">
      <c r="B111" s="123">
        <v>46363</v>
      </c>
      <c r="C111" s="125">
        <v>2269</v>
      </c>
      <c r="D111" s="35">
        <f t="shared" si="2"/>
        <v>9.66650555824069E-2</v>
      </c>
      <c r="E111" s="29"/>
      <c r="F111" s="44">
        <v>17856.5</v>
      </c>
      <c r="G111" s="35">
        <f t="shared" si="3"/>
        <v>1.34422905663234E-4</v>
      </c>
      <c r="H111" s="29"/>
      <c r="I111" s="29"/>
      <c r="J111" s="29"/>
      <c r="K111" s="29"/>
      <c r="L111" s="29"/>
      <c r="M111" s="29"/>
      <c r="O111" s="29"/>
      <c r="P111" s="29"/>
      <c r="Q111" s="29"/>
      <c r="R111" s="29"/>
      <c r="S111" s="29"/>
      <c r="T111" s="29"/>
      <c r="U111" s="29"/>
    </row>
    <row r="112" spans="2:21" x14ac:dyDescent="0.3">
      <c r="B112" s="123" t="s">
        <v>138</v>
      </c>
      <c r="C112" s="125">
        <v>2254.3000000000002</v>
      </c>
      <c r="D112" s="35">
        <f t="shared" si="2"/>
        <v>-6.4786249449095834E-3</v>
      </c>
      <c r="E112" s="29"/>
      <c r="F112" s="44">
        <v>17944.2</v>
      </c>
      <c r="G112" s="35">
        <f t="shared" si="3"/>
        <v>4.9113768095652155E-3</v>
      </c>
      <c r="H112" s="29"/>
      <c r="I112" s="29"/>
      <c r="J112" s="29"/>
      <c r="K112" s="29"/>
      <c r="L112" s="29"/>
      <c r="M112" s="29"/>
      <c r="O112" s="29"/>
      <c r="P112" s="29"/>
      <c r="Q112" s="29"/>
      <c r="R112" s="29"/>
      <c r="S112" s="29"/>
      <c r="T112" s="29"/>
      <c r="U112" s="29"/>
    </row>
    <row r="113" spans="2:21" x14ac:dyDescent="0.3">
      <c r="B113" s="123" t="s">
        <v>484</v>
      </c>
      <c r="C113" s="125">
        <v>2446.6</v>
      </c>
      <c r="D113" s="35">
        <f t="shared" si="2"/>
        <v>8.5303641928758278E-2</v>
      </c>
      <c r="E113" s="29"/>
      <c r="F113" s="44">
        <v>17844.599999999999</v>
      </c>
      <c r="G113" s="35">
        <f t="shared" si="3"/>
        <v>-5.5505400073562194E-3</v>
      </c>
      <c r="H113" s="29"/>
      <c r="I113" s="29"/>
      <c r="J113" s="29"/>
      <c r="K113" s="29"/>
      <c r="L113" s="29"/>
      <c r="M113" s="29"/>
      <c r="O113" s="29"/>
      <c r="P113" s="29"/>
      <c r="Q113" s="29"/>
      <c r="R113" s="29"/>
      <c r="S113" s="29"/>
      <c r="T113" s="29"/>
      <c r="U113" s="29"/>
    </row>
    <row r="114" spans="2:21" x14ac:dyDescent="0.3">
      <c r="B114" s="29"/>
      <c r="O114" s="29"/>
      <c r="P114" s="29"/>
      <c r="Q114" s="29"/>
      <c r="R114" s="29"/>
      <c r="S114" s="29"/>
      <c r="T114" s="29"/>
      <c r="U114" s="29"/>
    </row>
    <row r="115" spans="2:21" x14ac:dyDescent="0.3">
      <c r="B115" s="29"/>
      <c r="O115" s="29"/>
      <c r="P115" s="29"/>
      <c r="Q115" s="29"/>
      <c r="R115" s="29"/>
      <c r="S115" s="29"/>
      <c r="T115" s="29"/>
      <c r="U115" s="29"/>
    </row>
    <row r="116" spans="2:21" x14ac:dyDescent="0.3">
      <c r="B116" s="29"/>
      <c r="O116" s="29"/>
      <c r="P116" s="29"/>
      <c r="Q116" s="29"/>
      <c r="R116" s="29"/>
      <c r="S116" s="29"/>
      <c r="T116" s="29"/>
      <c r="U116" s="29"/>
    </row>
    <row r="117" spans="2:21" x14ac:dyDescent="0.3">
      <c r="B117" s="29"/>
      <c r="O117" s="29"/>
      <c r="P117" s="29"/>
      <c r="Q117" s="29"/>
      <c r="R117" s="29"/>
      <c r="S117" s="29"/>
      <c r="T117" s="29"/>
      <c r="U117" s="29"/>
    </row>
    <row r="118" spans="2:21" x14ac:dyDescent="0.3">
      <c r="B118" s="29"/>
      <c r="O118" s="29"/>
      <c r="P118" s="29"/>
      <c r="Q118" s="29"/>
      <c r="R118" s="29"/>
      <c r="S118" s="29"/>
      <c r="T118" s="29"/>
      <c r="U118" s="29"/>
    </row>
    <row r="119" spans="2:21" x14ac:dyDescent="0.3">
      <c r="B119" s="29"/>
      <c r="O119" s="29"/>
      <c r="P119" s="29"/>
      <c r="Q119" s="29"/>
      <c r="R119" s="29"/>
      <c r="S119" s="29"/>
      <c r="T119" s="29"/>
      <c r="U119" s="29"/>
    </row>
    <row r="120" spans="2:21" x14ac:dyDescent="0.3">
      <c r="B120" s="29"/>
      <c r="O120" s="29"/>
      <c r="P120" s="29"/>
      <c r="Q120" s="29"/>
      <c r="R120" s="29"/>
      <c r="S120" s="29"/>
      <c r="T120" s="29"/>
      <c r="U120" s="29"/>
    </row>
  </sheetData>
  <mergeCells count="3">
    <mergeCell ref="B6:D6"/>
    <mergeCell ref="F6:G6"/>
    <mergeCell ref="I6:J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9E1B-EE86-48E8-9218-F2FC1439E84B}">
  <dimension ref="B2:M113"/>
  <sheetViews>
    <sheetView showGridLines="0" zoomScaleNormal="100" workbookViewId="0">
      <selection activeCell="B2" sqref="B2"/>
    </sheetView>
  </sheetViews>
  <sheetFormatPr defaultRowHeight="14.4" x14ac:dyDescent="0.3"/>
  <cols>
    <col min="1" max="1" width="1.88671875" customWidth="1"/>
    <col min="2" max="2" width="11.33203125" customWidth="1"/>
    <col min="3" max="3" width="11.5546875" bestFit="1" customWidth="1"/>
    <col min="4" max="4" width="7.6640625" bestFit="1" customWidth="1"/>
    <col min="6" max="6" width="11.5546875" bestFit="1" customWidth="1"/>
    <col min="7" max="7" width="6.6640625" bestFit="1" customWidth="1"/>
    <col min="9" max="9" width="17.5546875" customWidth="1"/>
    <col min="10" max="10" width="7" bestFit="1" customWidth="1"/>
    <col min="12" max="12" width="4.77734375" bestFit="1" customWidth="1"/>
    <col min="13" max="13" width="4.5546875" bestFit="1" customWidth="1"/>
  </cols>
  <sheetData>
    <row r="2" spans="2:13" x14ac:dyDescent="0.3">
      <c r="B2" s="259" t="s">
        <v>497</v>
      </c>
    </row>
    <row r="3" spans="2:13" ht="3.6" customHeight="1" x14ac:dyDescent="0.3"/>
    <row r="4" spans="2:13" x14ac:dyDescent="0.3">
      <c r="B4" s="30" t="s">
        <v>41</v>
      </c>
      <c r="C4" s="29"/>
      <c r="D4" s="29"/>
      <c r="E4" s="29"/>
      <c r="F4" s="29"/>
      <c r="G4" s="29"/>
      <c r="H4" s="29"/>
      <c r="I4" s="29"/>
      <c r="J4" s="29"/>
    </row>
    <row r="5" spans="2:13" ht="3.6" customHeight="1" x14ac:dyDescent="0.3">
      <c r="B5" s="29"/>
      <c r="C5" s="29"/>
      <c r="D5" s="29"/>
      <c r="E5" s="29"/>
      <c r="F5" s="29"/>
      <c r="G5" s="29"/>
      <c r="H5" s="29"/>
      <c r="I5" s="29"/>
      <c r="J5" s="29"/>
    </row>
    <row r="6" spans="2:13" x14ac:dyDescent="0.3">
      <c r="B6" s="435" t="s">
        <v>481</v>
      </c>
      <c r="C6" s="435"/>
      <c r="D6" s="435"/>
      <c r="E6" s="37"/>
      <c r="F6" s="436" t="s">
        <v>42</v>
      </c>
      <c r="G6" s="436"/>
      <c r="H6" s="29"/>
      <c r="I6" s="436" t="s">
        <v>43</v>
      </c>
      <c r="J6" s="436"/>
      <c r="M6" s="9"/>
    </row>
    <row r="7" spans="2:13" ht="3.6" customHeight="1" x14ac:dyDescent="0.3">
      <c r="B7" s="29"/>
      <c r="C7" s="29"/>
      <c r="D7" s="29"/>
      <c r="E7" s="29"/>
      <c r="F7" s="29"/>
      <c r="G7" s="29"/>
      <c r="H7" s="29"/>
      <c r="I7" s="29"/>
      <c r="J7" s="29"/>
    </row>
    <row r="8" spans="2:13" ht="15" thickBot="1" x14ac:dyDescent="0.35">
      <c r="B8" s="31" t="s">
        <v>44</v>
      </c>
      <c r="C8" s="32" t="s">
        <v>45</v>
      </c>
      <c r="D8" s="32" t="s">
        <v>46</v>
      </c>
      <c r="E8" s="29"/>
      <c r="F8" s="32" t="s">
        <v>45</v>
      </c>
      <c r="G8" s="32" t="s">
        <v>46</v>
      </c>
      <c r="H8" s="29"/>
      <c r="I8" s="29" t="s">
        <v>47</v>
      </c>
      <c r="J8" s="38">
        <f>SLOPE(D10:D112,G10:G112)</f>
        <v>0.7844093002513095</v>
      </c>
    </row>
    <row r="9" spans="2:13" x14ac:dyDescent="0.3">
      <c r="B9" s="123" t="s">
        <v>77</v>
      </c>
      <c r="C9" s="125">
        <v>1603.91</v>
      </c>
      <c r="F9" s="124">
        <v>24717.7</v>
      </c>
      <c r="I9" t="s">
        <v>48</v>
      </c>
      <c r="J9" s="121">
        <v>0.75</v>
      </c>
    </row>
    <row r="10" spans="2:13" x14ac:dyDescent="0.3">
      <c r="B10" s="123">
        <v>45390</v>
      </c>
      <c r="C10" s="125">
        <v>1584.63</v>
      </c>
      <c r="D10" s="8">
        <f>C10/C9-1</f>
        <v>-1.2020624598637064E-2</v>
      </c>
      <c r="F10" s="124">
        <v>24367.5</v>
      </c>
      <c r="G10" s="8">
        <f>F10/F9-1</f>
        <v>-1.4167984885325113E-2</v>
      </c>
    </row>
    <row r="11" spans="2:13" x14ac:dyDescent="0.3">
      <c r="B11" s="123">
        <v>45604</v>
      </c>
      <c r="C11" s="125">
        <v>1662.67</v>
      </c>
      <c r="D11" s="8">
        <f t="shared" ref="D11:D74" si="0">C11/C10-1</f>
        <v>4.9248089459368982E-2</v>
      </c>
      <c r="F11" s="124">
        <v>24541.15</v>
      </c>
      <c r="G11" s="8">
        <f t="shared" ref="G11:G74" si="1">F11/F10-1</f>
        <v>7.1262952703396998E-3</v>
      </c>
      <c r="I11" t="s">
        <v>49</v>
      </c>
      <c r="J11" s="7">
        <v>1</v>
      </c>
    </row>
    <row r="12" spans="2:13" x14ac:dyDescent="0.3">
      <c r="B12" s="123" t="s">
        <v>78</v>
      </c>
      <c r="C12" s="125">
        <v>1655.89</v>
      </c>
      <c r="D12" s="8">
        <f t="shared" si="0"/>
        <v>-4.0777785128738309E-3</v>
      </c>
      <c r="F12" s="124">
        <v>24823.15</v>
      </c>
      <c r="G12" s="8">
        <f t="shared" si="1"/>
        <v>1.1490904052988471E-2</v>
      </c>
      <c r="I12" t="s">
        <v>51</v>
      </c>
      <c r="J12" s="11">
        <f>100%-J9</f>
        <v>0.25</v>
      </c>
    </row>
    <row r="13" spans="2:13" x14ac:dyDescent="0.3">
      <c r="B13" s="123" t="s">
        <v>79</v>
      </c>
      <c r="C13" s="125">
        <v>1747.38</v>
      </c>
      <c r="D13" s="8">
        <f t="shared" si="0"/>
        <v>5.5251254612323386E-2</v>
      </c>
      <c r="F13" s="124">
        <v>25235.9</v>
      </c>
      <c r="G13" s="8">
        <f t="shared" si="1"/>
        <v>1.6627623810837822E-2</v>
      </c>
    </row>
    <row r="14" spans="2:13" x14ac:dyDescent="0.3">
      <c r="B14" s="123">
        <v>45300</v>
      </c>
      <c r="C14" s="125">
        <v>1750.22</v>
      </c>
      <c r="D14" s="8">
        <f t="shared" si="0"/>
        <v>1.6252904348224018E-3</v>
      </c>
      <c r="F14" s="124">
        <v>24852.15</v>
      </c>
      <c r="G14" s="8">
        <f t="shared" si="1"/>
        <v>-1.5206511358818231E-2</v>
      </c>
      <c r="I14" s="48" t="s">
        <v>53</v>
      </c>
      <c r="J14" s="49">
        <f>(J8*J9)+(J11*J12)</f>
        <v>0.83830697518848218</v>
      </c>
    </row>
    <row r="15" spans="2:13" x14ac:dyDescent="0.3">
      <c r="B15" s="123">
        <v>45513</v>
      </c>
      <c r="C15" s="125">
        <v>1806.73</v>
      </c>
      <c r="D15" s="8">
        <f t="shared" si="0"/>
        <v>3.2287369587823189E-2</v>
      </c>
      <c r="F15" s="124">
        <v>25356.5</v>
      </c>
      <c r="G15" s="8">
        <f t="shared" si="1"/>
        <v>2.0294018827344829E-2</v>
      </c>
    </row>
    <row r="16" spans="2:13" x14ac:dyDescent="0.3">
      <c r="B16" s="123" t="s">
        <v>80</v>
      </c>
      <c r="C16" s="125">
        <v>1754.16</v>
      </c>
      <c r="D16" s="8">
        <f t="shared" si="0"/>
        <v>-2.909676598052835E-2</v>
      </c>
      <c r="F16" s="124">
        <v>25790.95</v>
      </c>
      <c r="G16" s="8">
        <f t="shared" si="1"/>
        <v>1.7133673811448702E-2</v>
      </c>
    </row>
    <row r="17" spans="2:7" x14ac:dyDescent="0.3">
      <c r="B17" s="123" t="s">
        <v>81</v>
      </c>
      <c r="C17" s="125">
        <v>1802.34</v>
      </c>
      <c r="D17" s="8">
        <f t="shared" si="0"/>
        <v>2.7466137638527677E-2</v>
      </c>
      <c r="F17" s="124">
        <v>26178.95</v>
      </c>
      <c r="G17" s="8">
        <f t="shared" si="1"/>
        <v>1.5044036764834123E-2</v>
      </c>
    </row>
    <row r="18" spans="2:7" x14ac:dyDescent="0.3">
      <c r="B18" s="123" t="s">
        <v>82</v>
      </c>
      <c r="C18" s="125">
        <v>1770.65</v>
      </c>
      <c r="D18" s="8">
        <f t="shared" si="0"/>
        <v>-1.7582698048092982E-2</v>
      </c>
      <c r="F18" s="124">
        <v>25014.6</v>
      </c>
      <c r="G18" s="8">
        <f t="shared" si="1"/>
        <v>-4.4476573735768743E-2</v>
      </c>
    </row>
    <row r="19" spans="2:7" x14ac:dyDescent="0.3">
      <c r="B19" s="123">
        <v>45453</v>
      </c>
      <c r="C19" s="125">
        <v>1833.49</v>
      </c>
      <c r="D19" s="8">
        <f t="shared" si="0"/>
        <v>3.5489791884336208E-2</v>
      </c>
      <c r="F19" s="124">
        <v>24964.25</v>
      </c>
      <c r="G19" s="8">
        <f t="shared" si="1"/>
        <v>-2.0128245104857889E-3</v>
      </c>
    </row>
    <row r="20" spans="2:7" x14ac:dyDescent="0.3">
      <c r="B20" s="123" t="s">
        <v>83</v>
      </c>
      <c r="C20" s="125">
        <v>1851.48</v>
      </c>
      <c r="D20" s="8">
        <f t="shared" si="0"/>
        <v>9.8118888022296069E-3</v>
      </c>
      <c r="F20" s="124">
        <v>24854.05</v>
      </c>
      <c r="G20" s="8">
        <f t="shared" si="1"/>
        <v>-4.4143124668275524E-3</v>
      </c>
    </row>
    <row r="21" spans="2:7" x14ac:dyDescent="0.3">
      <c r="B21" s="123" t="s">
        <v>84</v>
      </c>
      <c r="C21" s="125">
        <v>1846.15</v>
      </c>
      <c r="D21" s="8">
        <f t="shared" si="0"/>
        <v>-2.8787780586341238E-3</v>
      </c>
      <c r="F21" s="124">
        <v>24180.799999999999</v>
      </c>
      <c r="G21" s="8">
        <f t="shared" si="1"/>
        <v>-2.7088140564616281E-2</v>
      </c>
    </row>
    <row r="22" spans="2:7" x14ac:dyDescent="0.3">
      <c r="B22" s="123" t="s">
        <v>85</v>
      </c>
      <c r="C22" s="125">
        <v>1751.52</v>
      </c>
      <c r="D22" s="8">
        <f t="shared" si="0"/>
        <v>-5.1258023454215595E-2</v>
      </c>
      <c r="F22" s="124">
        <v>24304.35</v>
      </c>
      <c r="G22" s="8">
        <f t="shared" si="1"/>
        <v>5.1094256600276999E-3</v>
      </c>
    </row>
    <row r="23" spans="2:7" x14ac:dyDescent="0.3">
      <c r="B23" s="123">
        <v>45362</v>
      </c>
      <c r="C23" s="125">
        <v>1831.35</v>
      </c>
      <c r="D23" s="8">
        <f t="shared" si="0"/>
        <v>4.557755549465603E-2</v>
      </c>
      <c r="F23" s="124">
        <v>24148.2</v>
      </c>
      <c r="G23" s="8">
        <f t="shared" si="1"/>
        <v>-6.4247758117372822E-3</v>
      </c>
    </row>
    <row r="24" spans="2:7" x14ac:dyDescent="0.3">
      <c r="B24" s="123">
        <v>45576</v>
      </c>
      <c r="C24" s="125">
        <v>1852.73</v>
      </c>
      <c r="D24" s="8">
        <f t="shared" si="0"/>
        <v>1.1674447811723665E-2</v>
      </c>
      <c r="F24" s="124">
        <v>23532.7</v>
      </c>
      <c r="G24" s="8">
        <f t="shared" si="1"/>
        <v>-2.5488442202731498E-2</v>
      </c>
    </row>
    <row r="25" spans="2:7" x14ac:dyDescent="0.3">
      <c r="B25" s="123" t="s">
        <v>86</v>
      </c>
      <c r="C25" s="125">
        <v>1892.04</v>
      </c>
      <c r="D25" s="8">
        <f t="shared" si="0"/>
        <v>2.1217338737970382E-2</v>
      </c>
      <c r="F25" s="124">
        <v>23907.25</v>
      </c>
      <c r="G25" s="8">
        <f t="shared" si="1"/>
        <v>1.5916150717937061E-2</v>
      </c>
    </row>
    <row r="26" spans="2:7" x14ac:dyDescent="0.3">
      <c r="B26" s="123" t="s">
        <v>87</v>
      </c>
      <c r="C26" s="125">
        <v>1841.86</v>
      </c>
      <c r="D26" s="8">
        <f t="shared" si="0"/>
        <v>-2.6521638020337912E-2</v>
      </c>
      <c r="F26" s="124">
        <v>24131.1</v>
      </c>
      <c r="G26" s="8">
        <f t="shared" si="1"/>
        <v>9.3632684645870157E-3</v>
      </c>
    </row>
    <row r="27" spans="2:7" x14ac:dyDescent="0.3">
      <c r="B27" s="123">
        <v>45303</v>
      </c>
      <c r="C27" s="125">
        <v>1916.26</v>
      </c>
      <c r="D27" s="8">
        <f t="shared" si="0"/>
        <v>4.0393949594431877E-2</v>
      </c>
      <c r="F27" s="124">
        <v>24677.8</v>
      </c>
      <c r="G27" s="8">
        <f t="shared" si="1"/>
        <v>2.2655411481449228E-2</v>
      </c>
    </row>
    <row r="28" spans="2:7" x14ac:dyDescent="0.3">
      <c r="B28" s="123">
        <v>45516</v>
      </c>
      <c r="C28" s="125">
        <v>1962.21</v>
      </c>
      <c r="D28" s="8">
        <f t="shared" si="0"/>
        <v>2.3979000761900737E-2</v>
      </c>
      <c r="F28" s="124">
        <v>24768.3</v>
      </c>
      <c r="G28" s="8">
        <f t="shared" si="1"/>
        <v>3.6672636944945491E-3</v>
      </c>
    </row>
    <row r="29" spans="2:7" x14ac:dyDescent="0.3">
      <c r="B29" s="123" t="s">
        <v>88</v>
      </c>
      <c r="C29" s="125">
        <v>1904.95</v>
      </c>
      <c r="D29" s="8">
        <f t="shared" si="0"/>
        <v>-2.9181382216990071E-2</v>
      </c>
      <c r="F29" s="124">
        <v>23587.5</v>
      </c>
      <c r="G29" s="8">
        <f t="shared" si="1"/>
        <v>-4.7673841159869612E-2</v>
      </c>
    </row>
    <row r="30" spans="2:7" x14ac:dyDescent="0.3">
      <c r="B30" s="123" t="s">
        <v>89</v>
      </c>
      <c r="C30" s="125">
        <v>1885.67</v>
      </c>
      <c r="D30" s="8">
        <f t="shared" si="0"/>
        <v>-1.012100055119558E-2</v>
      </c>
      <c r="F30" s="124">
        <v>23813.4</v>
      </c>
      <c r="G30" s="8">
        <f t="shared" si="1"/>
        <v>9.5771065182830295E-3</v>
      </c>
    </row>
    <row r="31" spans="2:7" x14ac:dyDescent="0.3">
      <c r="B31" s="123" t="s">
        <v>90</v>
      </c>
      <c r="C31" s="125">
        <v>1940.13</v>
      </c>
      <c r="D31" s="8">
        <f t="shared" si="0"/>
        <v>2.8880981295772878E-2</v>
      </c>
      <c r="F31" s="124">
        <v>24004.75</v>
      </c>
      <c r="G31" s="8">
        <f t="shared" si="1"/>
        <v>8.035391838208783E-3</v>
      </c>
    </row>
    <row r="32" spans="2:7" x14ac:dyDescent="0.3">
      <c r="B32" s="123">
        <v>45778</v>
      </c>
      <c r="C32" s="125">
        <v>1988.42</v>
      </c>
      <c r="D32" s="8">
        <f t="shared" si="0"/>
        <v>2.4890084685046832E-2</v>
      </c>
      <c r="F32" s="124">
        <v>23431.5</v>
      </c>
      <c r="G32" s="8">
        <f t="shared" si="1"/>
        <v>-2.3880690280048689E-2</v>
      </c>
    </row>
    <row r="33" spans="2:7" x14ac:dyDescent="0.3">
      <c r="B33" s="123">
        <v>45992</v>
      </c>
      <c r="C33" s="125">
        <v>1788.9</v>
      </c>
      <c r="D33" s="8">
        <f t="shared" si="0"/>
        <v>-0.10034097424085453</v>
      </c>
      <c r="F33" s="124">
        <v>23203.200000000001</v>
      </c>
      <c r="G33" s="8">
        <f t="shared" si="1"/>
        <v>-9.7432942833365344E-3</v>
      </c>
    </row>
    <row r="34" spans="2:7" x14ac:dyDescent="0.3">
      <c r="B34" s="123" t="s">
        <v>91</v>
      </c>
      <c r="C34" s="125">
        <v>1792.85</v>
      </c>
      <c r="D34" s="8">
        <f t="shared" si="0"/>
        <v>2.2080608194978701E-3</v>
      </c>
      <c r="F34" s="124">
        <v>23092.2</v>
      </c>
      <c r="G34" s="8">
        <f t="shared" si="1"/>
        <v>-4.7838229209764549E-3</v>
      </c>
    </row>
    <row r="35" spans="2:7" x14ac:dyDescent="0.3">
      <c r="B35" s="123" t="s">
        <v>92</v>
      </c>
      <c r="C35" s="125">
        <v>1725.45</v>
      </c>
      <c r="D35" s="8">
        <f t="shared" si="0"/>
        <v>-3.7593775274004981E-2</v>
      </c>
      <c r="F35" s="124">
        <v>23508.400000000001</v>
      </c>
      <c r="G35" s="8">
        <f t="shared" si="1"/>
        <v>1.8023401841314346E-2</v>
      </c>
    </row>
    <row r="36" spans="2:7" x14ac:dyDescent="0.3">
      <c r="B36" s="123">
        <v>45690</v>
      </c>
      <c r="C36" s="125">
        <v>1725.65</v>
      </c>
      <c r="D36" s="8">
        <f t="shared" si="0"/>
        <v>1.159117911269103E-4</v>
      </c>
      <c r="F36" s="124">
        <v>23559.95</v>
      </c>
      <c r="G36" s="8">
        <f t="shared" si="1"/>
        <v>2.1928332000475947E-3</v>
      </c>
    </row>
    <row r="37" spans="2:7" x14ac:dyDescent="0.3">
      <c r="B37" s="123">
        <v>45902</v>
      </c>
      <c r="C37" s="125">
        <v>1711.25</v>
      </c>
      <c r="D37" s="8">
        <f t="shared" si="0"/>
        <v>-8.3446817141367147E-3</v>
      </c>
      <c r="F37" s="124">
        <v>22929.25</v>
      </c>
      <c r="G37" s="8">
        <f t="shared" si="1"/>
        <v>-2.6770005878620329E-2</v>
      </c>
    </row>
    <row r="38" spans="2:7" x14ac:dyDescent="0.3">
      <c r="B38" s="123" t="s">
        <v>93</v>
      </c>
      <c r="C38" s="125">
        <v>1700.7</v>
      </c>
      <c r="D38" s="8">
        <f t="shared" si="0"/>
        <v>-6.1650840029218168E-3</v>
      </c>
      <c r="F38" s="124">
        <v>22795.9</v>
      </c>
      <c r="G38" s="8">
        <f t="shared" si="1"/>
        <v>-5.8157157342695331E-3</v>
      </c>
    </row>
    <row r="39" spans="2:7" x14ac:dyDescent="0.3">
      <c r="B39" s="123" t="s">
        <v>94</v>
      </c>
      <c r="C39" s="125">
        <v>1575.05</v>
      </c>
      <c r="D39" s="8">
        <f t="shared" si="0"/>
        <v>-7.3881342976421571E-2</v>
      </c>
      <c r="F39" s="124">
        <v>22124.7</v>
      </c>
      <c r="G39" s="8">
        <f t="shared" si="1"/>
        <v>-2.9443891226053842E-2</v>
      </c>
    </row>
    <row r="40" spans="2:7" x14ac:dyDescent="0.3">
      <c r="B40" s="123">
        <v>45691</v>
      </c>
      <c r="C40" s="125">
        <v>1557.95</v>
      </c>
      <c r="D40" s="8">
        <f t="shared" si="0"/>
        <v>-1.0856798196882567E-2</v>
      </c>
      <c r="F40" s="124">
        <v>22552.5</v>
      </c>
      <c r="G40" s="8">
        <f t="shared" si="1"/>
        <v>1.9335855401429125E-2</v>
      </c>
    </row>
    <row r="41" spans="2:7" x14ac:dyDescent="0.3">
      <c r="B41" s="123">
        <v>45903</v>
      </c>
      <c r="C41" s="125">
        <v>1534.75</v>
      </c>
      <c r="D41" s="8">
        <f t="shared" si="0"/>
        <v>-1.4891363650951561E-2</v>
      </c>
      <c r="F41" s="124">
        <v>22397.200000000001</v>
      </c>
      <c r="G41" s="8">
        <f t="shared" si="1"/>
        <v>-6.8861545283227521E-3</v>
      </c>
    </row>
    <row r="42" spans="2:7" x14ac:dyDescent="0.3">
      <c r="B42" s="123" t="s">
        <v>95</v>
      </c>
      <c r="C42" s="125">
        <v>1566.7</v>
      </c>
      <c r="D42" s="8">
        <f t="shared" si="0"/>
        <v>2.0817722756149237E-2</v>
      </c>
      <c r="F42" s="124">
        <v>23350.400000000001</v>
      </c>
      <c r="G42" s="8">
        <f t="shared" si="1"/>
        <v>4.2558891289982803E-2</v>
      </c>
    </row>
    <row r="43" spans="2:7" x14ac:dyDescent="0.3">
      <c r="B43" s="123" t="s">
        <v>96</v>
      </c>
      <c r="C43" s="125">
        <v>1592.5</v>
      </c>
      <c r="D43" s="8">
        <f t="shared" si="0"/>
        <v>1.6467734729048278E-2</v>
      </c>
      <c r="F43" s="124">
        <v>23519.35</v>
      </c>
      <c r="G43" s="8">
        <f t="shared" si="1"/>
        <v>7.2354220912702605E-3</v>
      </c>
    </row>
    <row r="44" spans="2:7" x14ac:dyDescent="0.3">
      <c r="B44" s="123" t="s">
        <v>97</v>
      </c>
      <c r="C44" s="125">
        <v>1422.1</v>
      </c>
      <c r="D44" s="8">
        <f t="shared" si="0"/>
        <v>-0.10700156985871279</v>
      </c>
      <c r="F44" s="124">
        <v>22904.45</v>
      </c>
      <c r="G44" s="8">
        <f t="shared" si="1"/>
        <v>-2.6144430011883713E-2</v>
      </c>
    </row>
    <row r="45" spans="2:7" x14ac:dyDescent="0.3">
      <c r="B45" s="123">
        <v>45812</v>
      </c>
      <c r="C45" s="125">
        <v>1390.55</v>
      </c>
      <c r="D45" s="8">
        <f t="shared" si="0"/>
        <v>-2.2185500316433404E-2</v>
      </c>
      <c r="F45" s="124">
        <v>22828.55</v>
      </c>
      <c r="G45" s="8">
        <f t="shared" si="1"/>
        <v>-3.3137665388167648E-3</v>
      </c>
    </row>
    <row r="46" spans="2:7" x14ac:dyDescent="0.3">
      <c r="B46" s="123" t="s">
        <v>98</v>
      </c>
      <c r="C46" s="125">
        <v>1438</v>
      </c>
      <c r="D46" s="8">
        <f t="shared" si="0"/>
        <v>3.4123188666355109E-2</v>
      </c>
      <c r="F46" s="124">
        <v>23851.65</v>
      </c>
      <c r="G46" s="8">
        <f t="shared" si="1"/>
        <v>4.4816687875489425E-2</v>
      </c>
    </row>
    <row r="47" spans="2:7" x14ac:dyDescent="0.3">
      <c r="B47" s="123" t="s">
        <v>99</v>
      </c>
      <c r="C47" s="125">
        <v>1578.2</v>
      </c>
      <c r="D47" s="8">
        <f t="shared" si="0"/>
        <v>9.749652294853961E-2</v>
      </c>
      <c r="F47" s="124">
        <v>24039.35</v>
      </c>
      <c r="G47" s="8">
        <f t="shared" si="1"/>
        <v>7.86947653516612E-3</v>
      </c>
    </row>
    <row r="48" spans="2:7" x14ac:dyDescent="0.3">
      <c r="B48" s="123" t="s">
        <v>100</v>
      </c>
      <c r="C48" s="125">
        <v>1576.5</v>
      </c>
      <c r="D48" s="8">
        <f t="shared" si="0"/>
        <v>-1.0771765302243219E-3</v>
      </c>
      <c r="F48" s="124">
        <v>24346.7</v>
      </c>
      <c r="G48" s="8">
        <f t="shared" si="1"/>
        <v>1.2785287455775673E-2</v>
      </c>
    </row>
    <row r="49" spans="2:7" x14ac:dyDescent="0.3">
      <c r="B49" s="123">
        <v>45752</v>
      </c>
      <c r="C49" s="125">
        <v>1569.4</v>
      </c>
      <c r="D49" s="8">
        <f t="shared" si="0"/>
        <v>-4.503647320012627E-3</v>
      </c>
      <c r="F49" s="124">
        <v>24008</v>
      </c>
      <c r="G49" s="8">
        <f t="shared" si="1"/>
        <v>-1.391153626569519E-2</v>
      </c>
    </row>
    <row r="50" spans="2:7" x14ac:dyDescent="0.3">
      <c r="B50" s="123">
        <v>45966</v>
      </c>
      <c r="C50" s="125">
        <v>1659.9</v>
      </c>
      <c r="D50" s="8">
        <f t="shared" si="0"/>
        <v>5.7665349815215983E-2</v>
      </c>
      <c r="F50" s="124">
        <v>25019.8</v>
      </c>
      <c r="G50" s="8">
        <f t="shared" si="1"/>
        <v>4.2144285238253865E-2</v>
      </c>
    </row>
    <row r="51" spans="2:7" x14ac:dyDescent="0.3">
      <c r="B51" s="123" t="s">
        <v>101</v>
      </c>
      <c r="C51" s="125">
        <v>1648.2</v>
      </c>
      <c r="D51" s="8">
        <f t="shared" si="0"/>
        <v>-7.0486173865895729E-3</v>
      </c>
      <c r="F51" s="124">
        <v>24853.15</v>
      </c>
      <c r="G51" s="8">
        <f t="shared" si="1"/>
        <v>-6.660724706032739E-3</v>
      </c>
    </row>
    <row r="52" spans="2:7" x14ac:dyDescent="0.3">
      <c r="B52" s="123" t="s">
        <v>102</v>
      </c>
      <c r="C52" s="125">
        <v>1636.6</v>
      </c>
      <c r="D52" s="8">
        <f t="shared" si="0"/>
        <v>-7.0379808275695677E-3</v>
      </c>
      <c r="F52" s="124">
        <v>24750.7</v>
      </c>
      <c r="G52" s="8">
        <f t="shared" si="1"/>
        <v>-4.1222138843567402E-3</v>
      </c>
    </row>
    <row r="53" spans="2:7" x14ac:dyDescent="0.3">
      <c r="B53" s="123">
        <v>45663</v>
      </c>
      <c r="C53" s="125">
        <v>1637.7</v>
      </c>
      <c r="D53" s="8">
        <f t="shared" si="0"/>
        <v>6.7212513748016178E-4</v>
      </c>
      <c r="F53" s="124">
        <v>25003.05</v>
      </c>
      <c r="G53" s="8">
        <f t="shared" si="1"/>
        <v>1.0195671233540704E-2</v>
      </c>
    </row>
    <row r="54" spans="2:7" x14ac:dyDescent="0.3">
      <c r="B54" s="123">
        <v>45875</v>
      </c>
      <c r="C54" s="125">
        <v>1695.3</v>
      </c>
      <c r="D54" s="8">
        <f t="shared" si="0"/>
        <v>3.5171276790620931E-2</v>
      </c>
      <c r="F54" s="124">
        <v>24718.6</v>
      </c>
      <c r="G54" s="8">
        <f t="shared" si="1"/>
        <v>-1.1376612053329516E-2</v>
      </c>
    </row>
    <row r="55" spans="2:7" x14ac:dyDescent="0.3">
      <c r="B55" s="123" t="s">
        <v>103</v>
      </c>
      <c r="C55" s="125">
        <v>1739.9</v>
      </c>
      <c r="D55" s="8">
        <f t="shared" si="0"/>
        <v>2.6308028077626444E-2</v>
      </c>
      <c r="F55" s="124">
        <v>25112.400000000001</v>
      </c>
      <c r="G55" s="8">
        <f t="shared" si="1"/>
        <v>1.5931322971365791E-2</v>
      </c>
    </row>
    <row r="56" spans="2:7" x14ac:dyDescent="0.3">
      <c r="B56" s="123" t="s">
        <v>104</v>
      </c>
      <c r="C56" s="125">
        <v>1723.3</v>
      </c>
      <c r="D56" s="8">
        <f t="shared" si="0"/>
        <v>-9.5407782056440293E-3</v>
      </c>
      <c r="F56" s="124">
        <v>25637.8</v>
      </c>
      <c r="G56" s="8">
        <f t="shared" si="1"/>
        <v>2.092193498032846E-2</v>
      </c>
    </row>
    <row r="57" spans="2:7" x14ac:dyDescent="0.3">
      <c r="B57" s="123" t="s">
        <v>105</v>
      </c>
      <c r="C57" s="125">
        <v>1725.9</v>
      </c>
      <c r="D57" s="8">
        <f t="shared" si="0"/>
        <v>1.5087332443568524E-3</v>
      </c>
      <c r="F57" s="124">
        <v>25461</v>
      </c>
      <c r="G57" s="8">
        <f t="shared" si="1"/>
        <v>-6.8960675252947023E-3</v>
      </c>
    </row>
    <row r="58" spans="2:7" x14ac:dyDescent="0.3">
      <c r="B58" s="123">
        <v>45815</v>
      </c>
      <c r="C58" s="125">
        <v>1638.3</v>
      </c>
      <c r="D58" s="8">
        <f t="shared" si="0"/>
        <v>-5.0756127237962856E-2</v>
      </c>
      <c r="F58" s="124">
        <v>25149.85</v>
      </c>
      <c r="G58" s="8">
        <f t="shared" si="1"/>
        <v>-1.2220651192019205E-2</v>
      </c>
    </row>
    <row r="59" spans="2:7" x14ac:dyDescent="0.3">
      <c r="B59" s="123" t="s">
        <v>106</v>
      </c>
      <c r="C59" s="125">
        <v>1548.8</v>
      </c>
      <c r="D59" s="8">
        <f t="shared" si="0"/>
        <v>-5.4629799182078997E-2</v>
      </c>
      <c r="F59" s="124">
        <v>24968.400000000001</v>
      </c>
      <c r="G59" s="8">
        <f t="shared" si="1"/>
        <v>-7.214754759968578E-3</v>
      </c>
    </row>
    <row r="60" spans="2:7" x14ac:dyDescent="0.3">
      <c r="B60" s="123" t="s">
        <v>107</v>
      </c>
      <c r="C60" s="125">
        <v>1490.1</v>
      </c>
      <c r="D60" s="8">
        <f t="shared" si="0"/>
        <v>-3.7900309917355379E-2</v>
      </c>
      <c r="F60" s="124">
        <v>24837</v>
      </c>
      <c r="G60" s="8">
        <f t="shared" si="1"/>
        <v>-5.2626519921180615E-3</v>
      </c>
    </row>
    <row r="61" spans="2:7" x14ac:dyDescent="0.3">
      <c r="B61" s="123" t="s">
        <v>108</v>
      </c>
      <c r="C61" s="125">
        <v>1452.1</v>
      </c>
      <c r="D61" s="8">
        <f t="shared" si="0"/>
        <v>-2.5501644184954042E-2</v>
      </c>
      <c r="F61" s="124">
        <v>24565.35</v>
      </c>
      <c r="G61" s="8">
        <f t="shared" si="1"/>
        <v>-1.0937311269477057E-2</v>
      </c>
    </row>
    <row r="62" spans="2:7" x14ac:dyDescent="0.3">
      <c r="B62" s="123">
        <v>45724</v>
      </c>
      <c r="C62" s="125">
        <v>1475.7</v>
      </c>
      <c r="D62" s="8">
        <f t="shared" si="0"/>
        <v>1.6252324220095149E-2</v>
      </c>
      <c r="F62" s="124">
        <v>24363.3</v>
      </c>
      <c r="G62" s="8">
        <f t="shared" si="1"/>
        <v>-8.2249998473459263E-3</v>
      </c>
    </row>
    <row r="63" spans="2:7" x14ac:dyDescent="0.3">
      <c r="B63" s="123">
        <v>45938</v>
      </c>
      <c r="C63" s="125">
        <v>1489.8</v>
      </c>
      <c r="D63" s="8">
        <f t="shared" si="0"/>
        <v>9.5547875584467423E-3</v>
      </c>
      <c r="F63" s="124">
        <v>24631.3</v>
      </c>
      <c r="G63" s="8">
        <f t="shared" si="1"/>
        <v>1.100015186776826E-2</v>
      </c>
    </row>
    <row r="64" spans="2:7" x14ac:dyDescent="0.3">
      <c r="B64" s="123" t="s">
        <v>109</v>
      </c>
      <c r="C64" s="125">
        <v>1466.3</v>
      </c>
      <c r="D64" s="8">
        <f t="shared" si="0"/>
        <v>-1.57739293864948E-2</v>
      </c>
      <c r="F64" s="124">
        <v>24870.1</v>
      </c>
      <c r="G64" s="8">
        <f t="shared" si="1"/>
        <v>9.6949815884666002E-3</v>
      </c>
    </row>
    <row r="65" spans="2:7" x14ac:dyDescent="0.3">
      <c r="B65" s="123" t="s">
        <v>110</v>
      </c>
      <c r="C65" s="125">
        <v>1454.8</v>
      </c>
      <c r="D65" s="8">
        <f t="shared" si="0"/>
        <v>-7.8428698083611303E-3</v>
      </c>
      <c r="F65" s="124">
        <v>24426.85</v>
      </c>
      <c r="G65" s="8">
        <f t="shared" si="1"/>
        <v>-1.7822606262138052E-2</v>
      </c>
    </row>
    <row r="66" spans="2:7" x14ac:dyDescent="0.3">
      <c r="B66" s="123" t="s">
        <v>111</v>
      </c>
      <c r="C66" s="125">
        <v>1419</v>
      </c>
      <c r="D66" s="8">
        <f t="shared" si="0"/>
        <v>-2.4608193566125869E-2</v>
      </c>
      <c r="F66" s="124">
        <v>24741</v>
      </c>
      <c r="G66" s="8">
        <f t="shared" si="1"/>
        <v>1.2860847796584585E-2</v>
      </c>
    </row>
    <row r="67" spans="2:7" x14ac:dyDescent="0.3">
      <c r="B67" s="123">
        <v>45847</v>
      </c>
      <c r="C67" s="125">
        <v>1467.2</v>
      </c>
      <c r="D67" s="8">
        <f t="shared" si="0"/>
        <v>3.3967582804792062E-2</v>
      </c>
      <c r="F67" s="124">
        <v>25114</v>
      </c>
      <c r="G67" s="8">
        <f t="shared" si="1"/>
        <v>1.5076189321369338E-2</v>
      </c>
    </row>
    <row r="68" spans="2:7" x14ac:dyDescent="0.3">
      <c r="B68" s="123" t="s">
        <v>112</v>
      </c>
      <c r="C68" s="125">
        <v>1467.4</v>
      </c>
      <c r="D68" s="8">
        <f t="shared" si="0"/>
        <v>1.3631406761183129E-4</v>
      </c>
      <c r="F68" s="124">
        <v>25327.05</v>
      </c>
      <c r="G68" s="8">
        <f t="shared" si="1"/>
        <v>8.4833160786812467E-3</v>
      </c>
    </row>
    <row r="69" spans="2:7" x14ac:dyDescent="0.3">
      <c r="B69" s="123" t="s">
        <v>113</v>
      </c>
      <c r="C69" s="125">
        <v>1395.3</v>
      </c>
      <c r="D69" s="8">
        <f t="shared" si="0"/>
        <v>-4.9134523647267336E-2</v>
      </c>
      <c r="F69" s="124">
        <v>24654.7</v>
      </c>
      <c r="G69" s="8">
        <f t="shared" si="1"/>
        <v>-2.6546715863079107E-2</v>
      </c>
    </row>
    <row r="70" spans="2:7" x14ac:dyDescent="0.3">
      <c r="B70" s="123" t="s">
        <v>114</v>
      </c>
      <c r="C70" s="125">
        <v>1393.5</v>
      </c>
      <c r="D70" s="8">
        <f t="shared" si="0"/>
        <v>-1.2900451515802658E-3</v>
      </c>
      <c r="F70" s="124">
        <v>24894.25</v>
      </c>
      <c r="G70" s="8">
        <f t="shared" si="1"/>
        <v>9.7162001565624934E-3</v>
      </c>
    </row>
    <row r="71" spans="2:7" x14ac:dyDescent="0.3">
      <c r="B71" s="123">
        <v>45787</v>
      </c>
      <c r="C71" s="125">
        <v>1495.5</v>
      </c>
      <c r="D71" s="8">
        <f t="shared" si="0"/>
        <v>7.319698600645852E-2</v>
      </c>
      <c r="F71" s="124">
        <v>25285.35</v>
      </c>
      <c r="G71" s="8">
        <f t="shared" si="1"/>
        <v>1.5710455225604214E-2</v>
      </c>
    </row>
    <row r="72" spans="2:7" x14ac:dyDescent="0.3">
      <c r="B72" s="123">
        <v>46001</v>
      </c>
      <c r="C72" s="125">
        <v>1486.2</v>
      </c>
      <c r="D72" s="8">
        <f t="shared" si="0"/>
        <v>-6.218655967903719E-3</v>
      </c>
      <c r="F72" s="124">
        <v>25709.85</v>
      </c>
      <c r="G72" s="8">
        <f t="shared" si="1"/>
        <v>1.6788377459675319E-2</v>
      </c>
    </row>
    <row r="73" spans="2:7" x14ac:dyDescent="0.3">
      <c r="B73" s="123" t="s">
        <v>115</v>
      </c>
      <c r="C73" s="125">
        <v>1523.8</v>
      </c>
      <c r="D73" s="8">
        <f t="shared" si="0"/>
        <v>2.5299421343022432E-2</v>
      </c>
      <c r="F73" s="124">
        <v>25795.15</v>
      </c>
      <c r="G73" s="8">
        <f t="shared" si="1"/>
        <v>3.3177945417808274E-3</v>
      </c>
    </row>
    <row r="74" spans="2:7" x14ac:dyDescent="0.3">
      <c r="B74" s="123" t="s">
        <v>116</v>
      </c>
      <c r="C74" s="125">
        <v>1541.5</v>
      </c>
      <c r="D74" s="8">
        <f t="shared" si="0"/>
        <v>1.1615697598110097E-2</v>
      </c>
      <c r="F74" s="124">
        <v>25722.1</v>
      </c>
      <c r="G74" s="8">
        <f t="shared" si="1"/>
        <v>-2.8319277073404203E-3</v>
      </c>
    </row>
    <row r="75" spans="2:7" x14ac:dyDescent="0.3">
      <c r="B75" s="123">
        <v>45699</v>
      </c>
      <c r="C75" s="125">
        <v>1512.4</v>
      </c>
      <c r="D75" s="8">
        <f t="shared" ref="D75:D112" si="2">C75/C74-1</f>
        <v>-1.8877716509892895E-2</v>
      </c>
      <c r="F75" s="124">
        <v>25492.3</v>
      </c>
      <c r="G75" s="8">
        <f t="shared" ref="G75:G112" si="3">F75/F74-1</f>
        <v>-8.9339517379996014E-3</v>
      </c>
    </row>
    <row r="76" spans="2:7" x14ac:dyDescent="0.3">
      <c r="B76" s="123">
        <v>45911</v>
      </c>
      <c r="C76" s="125">
        <v>1594.6</v>
      </c>
      <c r="D76" s="8">
        <f t="shared" si="2"/>
        <v>5.4350700872784818E-2</v>
      </c>
      <c r="F76" s="124">
        <v>25910.05</v>
      </c>
      <c r="G76" s="8">
        <f t="shared" si="3"/>
        <v>1.6387301263518728E-2</v>
      </c>
    </row>
    <row r="77" spans="2:7" x14ac:dyDescent="0.3">
      <c r="B77" s="123" t="s">
        <v>117</v>
      </c>
      <c r="C77" s="125">
        <v>1608</v>
      </c>
      <c r="D77" s="8">
        <f t="shared" si="2"/>
        <v>8.4033613445377853E-3</v>
      </c>
      <c r="F77" s="124">
        <v>26068.15</v>
      </c>
      <c r="G77" s="8">
        <f t="shared" si="3"/>
        <v>6.1018793865701415E-3</v>
      </c>
    </row>
    <row r="78" spans="2:7" x14ac:dyDescent="0.3">
      <c r="B78" s="123" t="s">
        <v>118</v>
      </c>
      <c r="C78" s="125">
        <v>1624.2</v>
      </c>
      <c r="D78" s="8">
        <f t="shared" si="2"/>
        <v>1.0074626865671732E-2</v>
      </c>
      <c r="F78" s="124">
        <v>26202.95</v>
      </c>
      <c r="G78" s="8">
        <f t="shared" si="3"/>
        <v>5.1710612375637233E-3</v>
      </c>
    </row>
    <row r="79" spans="2:7" x14ac:dyDescent="0.3">
      <c r="B79" s="123" t="s">
        <v>119</v>
      </c>
      <c r="C79" s="125">
        <v>1683</v>
      </c>
      <c r="D79" s="8">
        <f t="shared" si="2"/>
        <v>3.6202438123383862E-2</v>
      </c>
      <c r="F79" s="124">
        <v>26186.45</v>
      </c>
      <c r="G79" s="8">
        <f t="shared" si="3"/>
        <v>-6.297000910202577E-4</v>
      </c>
    </row>
    <row r="80" spans="2:7" x14ac:dyDescent="0.3">
      <c r="B80" s="123">
        <v>45850</v>
      </c>
      <c r="C80" s="125">
        <v>1673.2</v>
      </c>
      <c r="D80" s="8">
        <f t="shared" si="2"/>
        <v>-5.8229352346998997E-3</v>
      </c>
      <c r="F80" s="124">
        <v>26046.95</v>
      </c>
      <c r="G80" s="8">
        <f t="shared" si="3"/>
        <v>-5.3271825696113995E-3</v>
      </c>
    </row>
    <row r="81" spans="2:7" x14ac:dyDescent="0.3">
      <c r="B81" s="123" t="s">
        <v>120</v>
      </c>
      <c r="C81" s="125">
        <v>1642.4</v>
      </c>
      <c r="D81" s="8">
        <f t="shared" si="2"/>
        <v>-1.8407841262251923E-2</v>
      </c>
      <c r="F81" s="124">
        <v>25966.400000000001</v>
      </c>
      <c r="G81" s="8">
        <f t="shared" si="3"/>
        <v>-3.0924925951022475E-3</v>
      </c>
    </row>
    <row r="82" spans="2:7" x14ac:dyDescent="0.3">
      <c r="B82" s="123" t="s">
        <v>121</v>
      </c>
      <c r="C82" s="125">
        <v>1660.9</v>
      </c>
      <c r="D82" s="8">
        <f t="shared" si="2"/>
        <v>1.126400389673643E-2</v>
      </c>
      <c r="F82" s="124">
        <v>26042.3</v>
      </c>
      <c r="G82" s="8">
        <f t="shared" si="3"/>
        <v>2.9230081952060782E-3</v>
      </c>
    </row>
    <row r="83" spans="2:7" x14ac:dyDescent="0.3">
      <c r="B83" s="123" t="s">
        <v>122</v>
      </c>
      <c r="C83" s="125">
        <v>1640.2</v>
      </c>
      <c r="D83" s="8">
        <f t="shared" si="2"/>
        <v>-1.2463122403516214E-2</v>
      </c>
      <c r="F83" s="124">
        <v>26328.55</v>
      </c>
      <c r="G83" s="8">
        <f t="shared" si="3"/>
        <v>1.0991732681061128E-2</v>
      </c>
    </row>
    <row r="84" spans="2:7" x14ac:dyDescent="0.3">
      <c r="B84" s="123">
        <v>46113</v>
      </c>
      <c r="C84" s="125">
        <v>1661.4</v>
      </c>
      <c r="D84" s="8">
        <f t="shared" si="2"/>
        <v>1.2925253017924687E-2</v>
      </c>
      <c r="F84" s="124">
        <v>25683.3</v>
      </c>
      <c r="G84" s="8">
        <f t="shared" si="3"/>
        <v>-2.4507616256877029E-2</v>
      </c>
    </row>
    <row r="85" spans="2:7" x14ac:dyDescent="0.3">
      <c r="B85" s="123">
        <v>46327</v>
      </c>
      <c r="C85" s="125">
        <v>1698</v>
      </c>
      <c r="D85" s="8">
        <f t="shared" si="2"/>
        <v>2.2029613578909313E-2</v>
      </c>
      <c r="F85" s="124">
        <v>25694.35</v>
      </c>
      <c r="G85" s="8">
        <f t="shared" si="3"/>
        <v>4.3024066222008273E-4</v>
      </c>
    </row>
    <row r="86" spans="2:7" x14ac:dyDescent="0.3">
      <c r="B86" s="123" t="s">
        <v>123</v>
      </c>
      <c r="C86" s="125">
        <v>1707</v>
      </c>
      <c r="D86" s="8">
        <f t="shared" si="2"/>
        <v>5.300353356890497E-3</v>
      </c>
      <c r="F86" s="124">
        <v>25048.65</v>
      </c>
      <c r="G86" s="8">
        <f t="shared" si="3"/>
        <v>-2.5130038315816394E-2</v>
      </c>
    </row>
    <row r="87" spans="2:7" x14ac:dyDescent="0.3">
      <c r="B87" s="123" t="s">
        <v>124</v>
      </c>
      <c r="C87" s="125">
        <v>1695.6</v>
      </c>
      <c r="D87" s="8">
        <f t="shared" si="2"/>
        <v>-6.6783831282952733E-3</v>
      </c>
      <c r="F87" s="124">
        <v>25320.65</v>
      </c>
      <c r="G87" s="8">
        <f t="shared" si="3"/>
        <v>1.0858868641623332E-2</v>
      </c>
    </row>
    <row r="88" spans="2:7" x14ac:dyDescent="0.3">
      <c r="B88" s="123">
        <v>46024</v>
      </c>
      <c r="C88" s="125">
        <v>1593.7</v>
      </c>
      <c r="D88" s="8">
        <f t="shared" si="2"/>
        <v>-6.0096720924746272E-2</v>
      </c>
      <c r="F88" s="124">
        <v>25693.7</v>
      </c>
      <c r="G88" s="8">
        <f t="shared" si="3"/>
        <v>1.4733034104574605E-2</v>
      </c>
    </row>
    <row r="89" spans="2:7" x14ac:dyDescent="0.3">
      <c r="B89" s="123">
        <v>46236</v>
      </c>
      <c r="C89" s="125">
        <v>1455.2</v>
      </c>
      <c r="D89" s="8">
        <f t="shared" si="2"/>
        <v>-8.6904687205873077E-2</v>
      </c>
      <c r="F89" s="124">
        <v>25471.1</v>
      </c>
      <c r="G89" s="8">
        <f t="shared" si="3"/>
        <v>-8.6636023616685209E-3</v>
      </c>
    </row>
    <row r="90" spans="2:7" x14ac:dyDescent="0.3">
      <c r="B90" s="123" t="s">
        <v>125</v>
      </c>
      <c r="C90" s="125">
        <v>1436.5</v>
      </c>
      <c r="D90" s="8">
        <f t="shared" si="2"/>
        <v>-1.2850467289719614E-2</v>
      </c>
      <c r="F90" s="124">
        <v>25571.25</v>
      </c>
      <c r="G90" s="8">
        <f t="shared" si="3"/>
        <v>3.9319071418195684E-3</v>
      </c>
    </row>
    <row r="91" spans="2:7" x14ac:dyDescent="0.3">
      <c r="B91" s="123" t="s">
        <v>126</v>
      </c>
      <c r="C91" s="125">
        <v>1389.1</v>
      </c>
      <c r="D91" s="8">
        <f t="shared" si="2"/>
        <v>-3.2996867386007711E-2</v>
      </c>
      <c r="F91" s="124">
        <v>25178.65</v>
      </c>
      <c r="G91" s="8">
        <f t="shared" si="3"/>
        <v>-1.5353179840641329E-2</v>
      </c>
    </row>
    <row r="92" spans="2:7" x14ac:dyDescent="0.3">
      <c r="B92" s="123">
        <v>46025</v>
      </c>
      <c r="C92" s="125">
        <v>1356.7</v>
      </c>
      <c r="D92" s="8">
        <f t="shared" si="2"/>
        <v>-2.3324454682888129E-2</v>
      </c>
      <c r="F92" s="124">
        <v>24450.45</v>
      </c>
      <c r="G92" s="8">
        <f t="shared" si="3"/>
        <v>-2.892132818876314E-2</v>
      </c>
    </row>
    <row r="93" spans="2:7" x14ac:dyDescent="0.3">
      <c r="B93" s="123">
        <v>46237</v>
      </c>
      <c r="C93" s="125">
        <v>1325.4</v>
      </c>
      <c r="D93" s="8">
        <f t="shared" si="2"/>
        <v>-2.3070686223925718E-2</v>
      </c>
      <c r="F93" s="124">
        <v>23151.1</v>
      </c>
      <c r="G93" s="8">
        <f t="shared" si="3"/>
        <v>-5.3142171207482991E-2</v>
      </c>
    </row>
    <row r="94" spans="2:7" x14ac:dyDescent="0.3">
      <c r="B94" s="123" t="s">
        <v>127</v>
      </c>
      <c r="C94" s="125">
        <v>1333.7</v>
      </c>
      <c r="D94" s="8">
        <f t="shared" si="2"/>
        <v>6.262260449675594E-3</v>
      </c>
      <c r="F94" s="124">
        <v>23114.5</v>
      </c>
      <c r="G94" s="8">
        <f t="shared" si="3"/>
        <v>-1.5809184012853805E-3</v>
      </c>
    </row>
    <row r="95" spans="2:7" x14ac:dyDescent="0.3">
      <c r="B95" s="123" t="s">
        <v>128</v>
      </c>
      <c r="C95" s="125">
        <v>1364.4</v>
      </c>
      <c r="D95" s="8">
        <f t="shared" si="2"/>
        <v>2.3018669865787045E-2</v>
      </c>
      <c r="F95" s="124">
        <v>22819.599999999999</v>
      </c>
      <c r="G95" s="8">
        <f t="shared" si="3"/>
        <v>-1.275822535637805E-2</v>
      </c>
    </row>
    <row r="96" spans="2:7" x14ac:dyDescent="0.3">
      <c r="B96" s="123" t="s">
        <v>129</v>
      </c>
      <c r="C96" s="125">
        <v>1402.2</v>
      </c>
      <c r="D96" s="8">
        <f t="shared" si="2"/>
        <v>2.770448548812654E-2</v>
      </c>
      <c r="F96" s="124">
        <v>22713.1</v>
      </c>
      <c r="G96" s="8">
        <f t="shared" si="3"/>
        <v>-4.6670406142088616E-3</v>
      </c>
    </row>
    <row r="97" spans="2:7" x14ac:dyDescent="0.3">
      <c r="B97" s="123">
        <v>46146</v>
      </c>
      <c r="C97" s="125">
        <v>1451.2</v>
      </c>
      <c r="D97" s="8">
        <f t="shared" si="2"/>
        <v>3.4945086292968108E-2</v>
      </c>
      <c r="F97" s="124">
        <v>24050.6</v>
      </c>
      <c r="G97" s="8">
        <f t="shared" si="3"/>
        <v>5.8886721759689342E-2</v>
      </c>
    </row>
    <row r="98" spans="2:7" x14ac:dyDescent="0.3">
      <c r="B98" s="123">
        <v>46360</v>
      </c>
      <c r="C98" s="125">
        <v>1442.3</v>
      </c>
      <c r="D98" s="8">
        <f t="shared" si="2"/>
        <v>-6.1328555678059615E-3</v>
      </c>
      <c r="F98" s="124">
        <v>24353.55</v>
      </c>
      <c r="G98" s="8">
        <f t="shared" si="3"/>
        <v>1.2596359342386565E-2</v>
      </c>
    </row>
    <row r="99" spans="2:7" x14ac:dyDescent="0.3">
      <c r="B99" s="123" t="s">
        <v>130</v>
      </c>
      <c r="C99" s="125">
        <v>1203.2</v>
      </c>
      <c r="D99" s="8">
        <f t="shared" si="2"/>
        <v>-0.16577688414338199</v>
      </c>
      <c r="F99" s="124">
        <v>23897.95</v>
      </c>
      <c r="G99" s="8">
        <f t="shared" si="3"/>
        <v>-1.8707744866764742E-2</v>
      </c>
    </row>
    <row r="100" spans="2:7" x14ac:dyDescent="0.3">
      <c r="B100" s="123" t="s">
        <v>131</v>
      </c>
      <c r="C100" s="125">
        <v>1199.0999999999999</v>
      </c>
      <c r="D100" s="8">
        <f t="shared" si="2"/>
        <v>-3.4075797872341607E-3</v>
      </c>
      <c r="F100" s="124">
        <v>23997.55</v>
      </c>
      <c r="G100" s="8">
        <f t="shared" si="3"/>
        <v>4.167721499124255E-3</v>
      </c>
    </row>
    <row r="101" spans="2:7" x14ac:dyDescent="0.3">
      <c r="B101" s="123">
        <v>46086</v>
      </c>
      <c r="C101" s="125">
        <v>1198.4000000000001</v>
      </c>
      <c r="D101" s="8">
        <f t="shared" si="2"/>
        <v>-5.8377116170449384E-4</v>
      </c>
      <c r="F101" s="124">
        <v>24176.15</v>
      </c>
      <c r="G101" s="8">
        <f t="shared" si="3"/>
        <v>7.4424264143633234E-3</v>
      </c>
    </row>
    <row r="102" spans="2:7" x14ac:dyDescent="0.3">
      <c r="B102" s="123">
        <v>46300</v>
      </c>
      <c r="C102" s="125">
        <v>1132.5999999999999</v>
      </c>
      <c r="D102" s="8">
        <f t="shared" si="2"/>
        <v>-5.4906542056074925E-2</v>
      </c>
      <c r="F102" s="124">
        <v>23643.5</v>
      </c>
      <c r="G102" s="8">
        <f t="shared" si="3"/>
        <v>-2.2032043977225579E-2</v>
      </c>
    </row>
    <row r="103" spans="2:7" x14ac:dyDescent="0.3">
      <c r="B103" s="123" t="s">
        <v>132</v>
      </c>
      <c r="C103" s="125">
        <v>1164</v>
      </c>
      <c r="D103" s="8">
        <f t="shared" si="2"/>
        <v>2.7723821296132822E-2</v>
      </c>
      <c r="F103" s="124">
        <v>23719.3</v>
      </c>
      <c r="G103" s="8">
        <f t="shared" si="3"/>
        <v>3.2059551250871454E-3</v>
      </c>
    </row>
    <row r="104" spans="2:7" x14ac:dyDescent="0.3">
      <c r="B104" s="123" t="s">
        <v>133</v>
      </c>
      <c r="C104" s="125">
        <v>1183.8</v>
      </c>
      <c r="D104" s="8">
        <f t="shared" si="2"/>
        <v>1.7010309278350455E-2</v>
      </c>
      <c r="F104" s="124">
        <v>23547.75</v>
      </c>
      <c r="G104" s="8">
        <f t="shared" si="3"/>
        <v>-7.2325068615008981E-3</v>
      </c>
    </row>
    <row r="105" spans="2:7" x14ac:dyDescent="0.3">
      <c r="B105" s="123" t="s">
        <v>134</v>
      </c>
      <c r="C105" s="125">
        <v>1154.7</v>
      </c>
      <c r="D105" s="8">
        <f t="shared" si="2"/>
        <v>-2.4581855043081524E-2</v>
      </c>
      <c r="F105" s="124">
        <v>23366.7</v>
      </c>
      <c r="G105" s="8">
        <f t="shared" si="3"/>
        <v>-7.6886326719113329E-3</v>
      </c>
    </row>
    <row r="106" spans="2:7" x14ac:dyDescent="0.3">
      <c r="B106" s="123">
        <v>46209</v>
      </c>
      <c r="C106" s="125">
        <v>1109.5999999999999</v>
      </c>
      <c r="D106" s="8">
        <f t="shared" si="2"/>
        <v>-3.9057763921364952E-2</v>
      </c>
      <c r="F106" s="124">
        <v>23622.9</v>
      </c>
      <c r="G106" s="8">
        <f t="shared" si="3"/>
        <v>1.0964321020940027E-2</v>
      </c>
    </row>
    <row r="107" spans="2:7" x14ac:dyDescent="0.3">
      <c r="B107" s="123" t="s">
        <v>135</v>
      </c>
      <c r="C107" s="125">
        <v>1131.7</v>
      </c>
      <c r="D107" s="8">
        <f t="shared" si="2"/>
        <v>1.9917087238644715E-2</v>
      </c>
      <c r="F107" s="124">
        <v>24013.1</v>
      </c>
      <c r="G107" s="8">
        <f t="shared" si="3"/>
        <v>1.6517870371546062E-2</v>
      </c>
    </row>
    <row r="108" spans="2:7" x14ac:dyDescent="0.3">
      <c r="B108" s="123" t="s">
        <v>136</v>
      </c>
      <c r="C108" s="125">
        <v>1100.7</v>
      </c>
      <c r="D108" s="8">
        <f t="shared" si="2"/>
        <v>-2.7392418485464365E-2</v>
      </c>
      <c r="F108" s="124">
        <v>24056</v>
      </c>
      <c r="G108" s="8">
        <f t="shared" si="3"/>
        <v>1.7865248551833801E-3</v>
      </c>
    </row>
    <row r="109" spans="2:7" x14ac:dyDescent="0.3">
      <c r="B109" s="123" t="s">
        <v>137</v>
      </c>
      <c r="C109" s="125">
        <v>1139</v>
      </c>
      <c r="D109" s="8">
        <f t="shared" si="2"/>
        <v>3.4796038884346236E-2</v>
      </c>
      <c r="F109" s="124">
        <v>24270.85</v>
      </c>
      <c r="G109" s="8">
        <f t="shared" si="3"/>
        <v>8.9312437645492349E-3</v>
      </c>
    </row>
    <row r="110" spans="2:7" x14ac:dyDescent="0.3">
      <c r="B110" s="123">
        <v>46149</v>
      </c>
      <c r="C110" s="125">
        <v>1164.0999999999999</v>
      </c>
      <c r="D110" s="8">
        <f t="shared" si="2"/>
        <v>2.2036874451272892E-2</v>
      </c>
      <c r="F110" s="124">
        <v>24206.9</v>
      </c>
      <c r="G110" s="8">
        <f t="shared" si="3"/>
        <v>-2.6348479760699428E-3</v>
      </c>
    </row>
    <row r="111" spans="2:7" x14ac:dyDescent="0.3">
      <c r="B111" s="123">
        <v>46363</v>
      </c>
      <c r="C111" s="125">
        <v>1203.9000000000001</v>
      </c>
      <c r="D111" s="8">
        <f t="shared" si="2"/>
        <v>3.418950262005005E-2</v>
      </c>
      <c r="F111" s="124">
        <v>24334.3</v>
      </c>
      <c r="G111" s="8">
        <f t="shared" si="3"/>
        <v>5.262962213253175E-3</v>
      </c>
    </row>
    <row r="112" spans="2:7" x14ac:dyDescent="0.3">
      <c r="B112" s="123" t="s">
        <v>138</v>
      </c>
      <c r="C112" s="125">
        <v>1271</v>
      </c>
      <c r="D112" s="8">
        <f t="shared" si="2"/>
        <v>5.5735526206495578E-2</v>
      </c>
      <c r="F112" s="124">
        <v>23767.45</v>
      </c>
      <c r="G112" s="8">
        <f t="shared" si="3"/>
        <v>-2.3294280090242925E-2</v>
      </c>
    </row>
    <row r="113" spans="3:3" x14ac:dyDescent="0.3">
      <c r="C113" s="125"/>
    </row>
  </sheetData>
  <mergeCells count="3">
    <mergeCell ref="B6:D6"/>
    <mergeCell ref="F6:G6"/>
    <mergeCell ref="I6: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8E15-19A1-4579-BC9E-37D585E5F121}">
  <dimension ref="B2:M183"/>
  <sheetViews>
    <sheetView showGridLines="0" workbookViewId="0">
      <selection activeCell="B2" sqref="B2"/>
    </sheetView>
  </sheetViews>
  <sheetFormatPr defaultRowHeight="14.4" x14ac:dyDescent="0.3"/>
  <cols>
    <col min="1" max="1" width="1.88671875" customWidth="1"/>
    <col min="2" max="2" width="11" customWidth="1"/>
    <col min="3" max="3" width="12" customWidth="1"/>
    <col min="6" max="6" width="12.44140625" customWidth="1"/>
    <col min="9" max="9" width="17.5546875" bestFit="1" customWidth="1"/>
  </cols>
  <sheetData>
    <row r="2" spans="2:13" x14ac:dyDescent="0.3">
      <c r="B2" s="259" t="s">
        <v>497</v>
      </c>
    </row>
    <row r="3" spans="2:13" ht="3.6" customHeight="1" x14ac:dyDescent="0.3"/>
    <row r="4" spans="2:13" x14ac:dyDescent="0.3">
      <c r="B4" s="30" t="s">
        <v>41</v>
      </c>
      <c r="C4" s="29"/>
      <c r="D4" s="29"/>
      <c r="E4" s="29"/>
      <c r="F4" s="29"/>
      <c r="G4" s="29"/>
      <c r="H4" s="29"/>
      <c r="I4" s="29"/>
      <c r="J4" s="29"/>
    </row>
    <row r="5" spans="2:13" ht="3.6" customHeight="1" x14ac:dyDescent="0.3">
      <c r="B5" s="29"/>
      <c r="C5" s="29"/>
      <c r="D5" s="29"/>
      <c r="E5" s="29"/>
      <c r="F5" s="29"/>
      <c r="G5" s="29"/>
      <c r="H5" s="29"/>
      <c r="I5" s="29"/>
      <c r="J5" s="29"/>
    </row>
    <row r="6" spans="2:13" x14ac:dyDescent="0.3">
      <c r="B6" s="435" t="s">
        <v>483</v>
      </c>
      <c r="C6" s="435"/>
      <c r="D6" s="435"/>
      <c r="E6" s="37"/>
      <c r="F6" s="436" t="s">
        <v>42</v>
      </c>
      <c r="G6" s="436"/>
      <c r="H6" s="29"/>
      <c r="I6" s="436" t="s">
        <v>43</v>
      </c>
      <c r="J6" s="436"/>
      <c r="M6" s="9"/>
    </row>
    <row r="7" spans="2:13" ht="3.6" customHeight="1" x14ac:dyDescent="0.3">
      <c r="B7" s="29"/>
      <c r="C7" s="29"/>
      <c r="D7" s="29"/>
      <c r="E7" s="29"/>
      <c r="F7" s="29"/>
      <c r="G7" s="29"/>
      <c r="H7" s="29"/>
      <c r="I7" s="29"/>
      <c r="J7" s="29"/>
    </row>
    <row r="8" spans="2:13" ht="16.2" customHeight="1" thickBot="1" x14ac:dyDescent="0.35">
      <c r="B8" s="47" t="s">
        <v>44</v>
      </c>
      <c r="C8" s="32" t="s">
        <v>45</v>
      </c>
      <c r="D8" s="32" t="s">
        <v>46</v>
      </c>
      <c r="E8" s="29"/>
      <c r="F8" s="32" t="s">
        <v>45</v>
      </c>
      <c r="G8" s="32" t="s">
        <v>46</v>
      </c>
      <c r="H8" s="29"/>
      <c r="I8" s="29" t="s">
        <v>47</v>
      </c>
      <c r="J8" s="38">
        <f>SLOPE(D10:D183,G10:G183)</f>
        <v>1.4755079090459846</v>
      </c>
    </row>
    <row r="9" spans="2:13" x14ac:dyDescent="0.3">
      <c r="B9" s="123" t="s">
        <v>77</v>
      </c>
      <c r="C9" s="7">
        <v>251.07</v>
      </c>
      <c r="D9" s="15"/>
      <c r="F9" s="126">
        <v>24717.7</v>
      </c>
      <c r="I9" t="s">
        <v>48</v>
      </c>
      <c r="J9" s="121">
        <v>0.75</v>
      </c>
    </row>
    <row r="10" spans="2:13" x14ac:dyDescent="0.3">
      <c r="B10" s="123">
        <v>45390</v>
      </c>
      <c r="C10" s="7">
        <v>245.65</v>
      </c>
      <c r="D10" s="50">
        <f>C10/C9-1</f>
        <v>-2.1587605050384262E-2</v>
      </c>
      <c r="F10" s="126">
        <v>24367.5</v>
      </c>
      <c r="G10" s="50">
        <f>F10/F9-1</f>
        <v>-1.4167984885325113E-2</v>
      </c>
    </row>
    <row r="11" spans="2:13" x14ac:dyDescent="0.3">
      <c r="B11" s="123">
        <v>45604</v>
      </c>
      <c r="C11" s="7">
        <v>258.13</v>
      </c>
      <c r="D11" s="50">
        <f t="shared" ref="D11:D74" si="0">C11/C10-1</f>
        <v>5.0803989415835415E-2</v>
      </c>
      <c r="F11" s="126">
        <v>24541.15</v>
      </c>
      <c r="G11" s="50">
        <f t="shared" ref="G11:G74" si="1">F11/F10-1</f>
        <v>7.1262952703396998E-3</v>
      </c>
      <c r="I11" t="s">
        <v>49</v>
      </c>
      <c r="J11" s="7">
        <v>1</v>
      </c>
    </row>
    <row r="12" spans="2:13" x14ac:dyDescent="0.3">
      <c r="B12" s="123" t="s">
        <v>78</v>
      </c>
      <c r="C12" s="7">
        <v>256.2</v>
      </c>
      <c r="D12" s="50">
        <f t="shared" si="0"/>
        <v>-7.4768527486150926E-3</v>
      </c>
      <c r="F12" s="126">
        <v>24823.15</v>
      </c>
      <c r="G12" s="50">
        <f t="shared" si="1"/>
        <v>1.1490904052988471E-2</v>
      </c>
      <c r="I12" t="s">
        <v>51</v>
      </c>
      <c r="J12" s="11">
        <f>100%-J9</f>
        <v>0.25</v>
      </c>
    </row>
    <row r="13" spans="2:13" x14ac:dyDescent="0.3">
      <c r="B13" s="123" t="s">
        <v>79</v>
      </c>
      <c r="C13" s="7">
        <v>269.2</v>
      </c>
      <c r="D13" s="50">
        <f t="shared" si="0"/>
        <v>5.0741608118657355E-2</v>
      </c>
      <c r="F13" s="126">
        <v>25235.9</v>
      </c>
      <c r="G13" s="50">
        <f t="shared" si="1"/>
        <v>1.6627623810837822E-2</v>
      </c>
    </row>
    <row r="14" spans="2:13" x14ac:dyDescent="0.3">
      <c r="B14" s="123">
        <v>45300</v>
      </c>
      <c r="C14" s="7">
        <v>260.3</v>
      </c>
      <c r="D14" s="50">
        <f t="shared" si="0"/>
        <v>-3.3060921248142527E-2</v>
      </c>
      <c r="F14" s="126">
        <v>24852.15</v>
      </c>
      <c r="G14" s="50">
        <f t="shared" si="1"/>
        <v>-1.5206511358818231E-2</v>
      </c>
      <c r="I14" s="48" t="s">
        <v>53</v>
      </c>
      <c r="J14" s="49">
        <f>(J8*J9)+(J11*J12)</f>
        <v>1.3566309317844885</v>
      </c>
    </row>
    <row r="15" spans="2:13" x14ac:dyDescent="0.3">
      <c r="B15" s="123">
        <v>45513</v>
      </c>
      <c r="C15" s="7">
        <v>275.3</v>
      </c>
      <c r="D15" s="50">
        <f t="shared" si="0"/>
        <v>5.7625816365731941E-2</v>
      </c>
      <c r="F15" s="126">
        <v>25356.5</v>
      </c>
      <c r="G15" s="50">
        <f t="shared" si="1"/>
        <v>2.0294018827344829E-2</v>
      </c>
    </row>
    <row r="16" spans="2:13" x14ac:dyDescent="0.3">
      <c r="B16" s="123" t="s">
        <v>80</v>
      </c>
      <c r="C16" s="7">
        <v>269.55</v>
      </c>
      <c r="D16" s="50">
        <f t="shared" si="0"/>
        <v>-2.0886305848165643E-2</v>
      </c>
      <c r="F16" s="126">
        <v>25790.95</v>
      </c>
      <c r="G16" s="50">
        <f t="shared" si="1"/>
        <v>1.7133673811448702E-2</v>
      </c>
    </row>
    <row r="17" spans="2:7" x14ac:dyDescent="0.3">
      <c r="B17" s="123" t="s">
        <v>81</v>
      </c>
      <c r="C17" s="7">
        <v>270.89999999999998</v>
      </c>
      <c r="D17" s="50">
        <f t="shared" si="0"/>
        <v>5.008347245408995E-3</v>
      </c>
      <c r="F17" s="126">
        <v>26178.95</v>
      </c>
      <c r="G17" s="50">
        <f t="shared" si="1"/>
        <v>1.5044036764834123E-2</v>
      </c>
    </row>
    <row r="18" spans="2:7" x14ac:dyDescent="0.3">
      <c r="B18" s="123" t="s">
        <v>82</v>
      </c>
      <c r="C18" s="7">
        <v>266.77</v>
      </c>
      <c r="D18" s="50">
        <f t="shared" si="0"/>
        <v>-1.5245478036175708E-2</v>
      </c>
      <c r="F18" s="126">
        <v>25014.6</v>
      </c>
      <c r="G18" s="50">
        <f t="shared" si="1"/>
        <v>-4.4476573735768743E-2</v>
      </c>
    </row>
    <row r="19" spans="2:7" x14ac:dyDescent="0.3">
      <c r="B19" s="123">
        <v>45453</v>
      </c>
      <c r="C19" s="7">
        <v>264.14999999999998</v>
      </c>
      <c r="D19" s="50">
        <f t="shared" si="0"/>
        <v>-9.8211942872137303E-3</v>
      </c>
      <c r="F19" s="126">
        <v>24964.25</v>
      </c>
      <c r="G19" s="50">
        <f t="shared" si="1"/>
        <v>-2.0128245104857889E-3</v>
      </c>
    </row>
    <row r="20" spans="2:7" x14ac:dyDescent="0.3">
      <c r="B20" s="123" t="s">
        <v>83</v>
      </c>
      <c r="C20" s="7">
        <v>274.33</v>
      </c>
      <c r="D20" s="50">
        <f t="shared" si="0"/>
        <v>3.8538709066818111E-2</v>
      </c>
      <c r="F20" s="126">
        <v>24854.05</v>
      </c>
      <c r="G20" s="50">
        <f t="shared" si="1"/>
        <v>-4.4143124668275524E-3</v>
      </c>
    </row>
    <row r="21" spans="2:7" x14ac:dyDescent="0.3">
      <c r="B21" s="123" t="s">
        <v>84</v>
      </c>
      <c r="C21" s="7">
        <v>271.73</v>
      </c>
      <c r="D21" s="50">
        <f t="shared" si="0"/>
        <v>-9.4776364232856958E-3</v>
      </c>
      <c r="F21" s="126">
        <v>24180.799999999999</v>
      </c>
      <c r="G21" s="50">
        <f t="shared" si="1"/>
        <v>-2.7088140564616281E-2</v>
      </c>
    </row>
    <row r="22" spans="2:7" x14ac:dyDescent="0.3">
      <c r="B22" s="123" t="s">
        <v>85</v>
      </c>
      <c r="C22" s="7">
        <v>275.67</v>
      </c>
      <c r="D22" s="50">
        <f t="shared" si="0"/>
        <v>1.4499687189489574E-2</v>
      </c>
      <c r="F22" s="126">
        <v>24304.35</v>
      </c>
      <c r="G22" s="50">
        <f t="shared" si="1"/>
        <v>5.1094256600276999E-3</v>
      </c>
    </row>
    <row r="23" spans="2:7" x14ac:dyDescent="0.3">
      <c r="B23" s="123">
        <v>45362</v>
      </c>
      <c r="C23" s="7">
        <v>284.5</v>
      </c>
      <c r="D23" s="50">
        <f t="shared" si="0"/>
        <v>3.2031051619690221E-2</v>
      </c>
      <c r="F23" s="126">
        <v>24148.2</v>
      </c>
      <c r="G23" s="50">
        <f t="shared" si="1"/>
        <v>-6.4247758117372822E-3</v>
      </c>
    </row>
    <row r="24" spans="2:7" x14ac:dyDescent="0.3">
      <c r="B24" s="123">
        <v>45576</v>
      </c>
      <c r="C24" s="7">
        <v>283.35000000000002</v>
      </c>
      <c r="D24" s="50">
        <f t="shared" si="0"/>
        <v>-4.0421792618627883E-3</v>
      </c>
      <c r="F24" s="126">
        <v>23532.7</v>
      </c>
      <c r="G24" s="50">
        <f t="shared" si="1"/>
        <v>-2.5488442202731498E-2</v>
      </c>
    </row>
    <row r="25" spans="2:7" x14ac:dyDescent="0.3">
      <c r="B25" s="123" t="s">
        <v>86</v>
      </c>
      <c r="C25" s="7">
        <v>285.83</v>
      </c>
      <c r="D25" s="50">
        <f t="shared" si="0"/>
        <v>8.7524263278628833E-3</v>
      </c>
      <c r="F25" s="126">
        <v>23907.25</v>
      </c>
      <c r="G25" s="50">
        <f t="shared" si="1"/>
        <v>1.5916150717937061E-2</v>
      </c>
    </row>
    <row r="26" spans="2:7" x14ac:dyDescent="0.3">
      <c r="B26" s="123" t="s">
        <v>87</v>
      </c>
      <c r="C26" s="7">
        <v>288.92</v>
      </c>
      <c r="D26" s="50">
        <f t="shared" si="0"/>
        <v>1.0810621698212231E-2</v>
      </c>
      <c r="F26" s="126">
        <v>24131.1</v>
      </c>
      <c r="G26" s="50">
        <f t="shared" si="1"/>
        <v>9.3632684645870157E-3</v>
      </c>
    </row>
    <row r="27" spans="2:7" x14ac:dyDescent="0.3">
      <c r="B27" s="123">
        <v>45303</v>
      </c>
      <c r="C27" s="7">
        <v>297.35000000000002</v>
      </c>
      <c r="D27" s="50">
        <f t="shared" si="0"/>
        <v>2.9177627024781883E-2</v>
      </c>
      <c r="F27" s="126">
        <v>24677.8</v>
      </c>
      <c r="G27" s="50">
        <f t="shared" si="1"/>
        <v>2.2655411481449228E-2</v>
      </c>
    </row>
    <row r="28" spans="2:7" x14ac:dyDescent="0.3">
      <c r="B28" s="123">
        <v>45516</v>
      </c>
      <c r="C28" s="7">
        <v>309.95</v>
      </c>
      <c r="D28" s="50">
        <f t="shared" si="0"/>
        <v>4.2374306372961135E-2</v>
      </c>
      <c r="F28" s="126">
        <v>24768.3</v>
      </c>
      <c r="G28" s="50">
        <f t="shared" si="1"/>
        <v>3.6672636944945491E-3</v>
      </c>
    </row>
    <row r="29" spans="2:7" x14ac:dyDescent="0.3">
      <c r="B29" s="123" t="s">
        <v>88</v>
      </c>
      <c r="C29" s="7">
        <v>305.2</v>
      </c>
      <c r="D29" s="50">
        <f t="shared" si="0"/>
        <v>-1.5325052427810903E-2</v>
      </c>
      <c r="F29" s="126">
        <v>23587.5</v>
      </c>
      <c r="G29" s="50">
        <f t="shared" si="1"/>
        <v>-4.7673841159869612E-2</v>
      </c>
    </row>
    <row r="30" spans="2:7" x14ac:dyDescent="0.3">
      <c r="B30" s="123" t="s">
        <v>89</v>
      </c>
      <c r="C30" s="7">
        <v>309.10000000000002</v>
      </c>
      <c r="D30" s="50">
        <f t="shared" si="0"/>
        <v>1.2778505897772074E-2</v>
      </c>
      <c r="F30" s="126">
        <v>23813.4</v>
      </c>
      <c r="G30" s="50">
        <f t="shared" si="1"/>
        <v>9.5771065182830295E-3</v>
      </c>
    </row>
    <row r="31" spans="2:7" x14ac:dyDescent="0.3">
      <c r="B31" s="123" t="s">
        <v>90</v>
      </c>
      <c r="C31" s="7">
        <v>294.45</v>
      </c>
      <c r="D31" s="50">
        <f t="shared" si="0"/>
        <v>-4.7395664833387308E-2</v>
      </c>
      <c r="F31" s="126">
        <v>24004.75</v>
      </c>
      <c r="G31" s="50">
        <f t="shared" si="1"/>
        <v>8.035391838208783E-3</v>
      </c>
    </row>
    <row r="32" spans="2:7" x14ac:dyDescent="0.3">
      <c r="B32" s="123">
        <v>45778</v>
      </c>
      <c r="C32" s="7">
        <v>300.55</v>
      </c>
      <c r="D32" s="50">
        <f t="shared" si="0"/>
        <v>2.07165902530142E-2</v>
      </c>
      <c r="F32" s="126">
        <v>23431.5</v>
      </c>
      <c r="G32" s="50">
        <f t="shared" si="1"/>
        <v>-2.3880690280048689E-2</v>
      </c>
    </row>
    <row r="33" spans="2:7" x14ac:dyDescent="0.3">
      <c r="B33" s="123">
        <v>45992</v>
      </c>
      <c r="C33" s="7">
        <v>281.95</v>
      </c>
      <c r="D33" s="50">
        <f t="shared" si="0"/>
        <v>-6.1886541340875123E-2</v>
      </c>
      <c r="F33" s="126">
        <v>23203.200000000001</v>
      </c>
      <c r="G33" s="50">
        <f t="shared" si="1"/>
        <v>-9.7432942833365344E-3</v>
      </c>
    </row>
    <row r="34" spans="2:7" x14ac:dyDescent="0.3">
      <c r="B34" s="123" t="s">
        <v>91</v>
      </c>
      <c r="C34" s="7">
        <v>320.10000000000002</v>
      </c>
      <c r="D34" s="50">
        <f t="shared" si="0"/>
        <v>0.13530767866643045</v>
      </c>
      <c r="F34" s="126">
        <v>23092.2</v>
      </c>
      <c r="G34" s="50">
        <f t="shared" si="1"/>
        <v>-4.7838229209764549E-3</v>
      </c>
    </row>
    <row r="35" spans="2:7" x14ac:dyDescent="0.3">
      <c r="B35" s="123" t="s">
        <v>92</v>
      </c>
      <c r="C35" s="7">
        <v>311.89999999999998</v>
      </c>
      <c r="D35" s="50">
        <f t="shared" si="0"/>
        <v>-2.5616994689159789E-2</v>
      </c>
      <c r="F35" s="126">
        <v>23508.400000000001</v>
      </c>
      <c r="G35" s="50">
        <f t="shared" si="1"/>
        <v>1.8023401841314346E-2</v>
      </c>
    </row>
    <row r="36" spans="2:7" x14ac:dyDescent="0.3">
      <c r="B36" s="123">
        <v>45690</v>
      </c>
      <c r="C36" s="7">
        <v>318</v>
      </c>
      <c r="D36" s="50">
        <f t="shared" si="0"/>
        <v>1.955755049695429E-2</v>
      </c>
      <c r="F36" s="126">
        <v>23559.95</v>
      </c>
      <c r="G36" s="50">
        <f t="shared" si="1"/>
        <v>2.1928332000475947E-3</v>
      </c>
    </row>
    <row r="37" spans="2:7" x14ac:dyDescent="0.3">
      <c r="B37" s="123">
        <v>45902</v>
      </c>
      <c r="C37" s="7">
        <v>308.10000000000002</v>
      </c>
      <c r="D37" s="50">
        <f t="shared" si="0"/>
        <v>-3.1132075471698051E-2</v>
      </c>
      <c r="F37" s="126">
        <v>22929.25</v>
      </c>
      <c r="G37" s="50">
        <f t="shared" si="1"/>
        <v>-2.6770005878620329E-2</v>
      </c>
    </row>
    <row r="38" spans="2:7" x14ac:dyDescent="0.3">
      <c r="B38" s="123" t="s">
        <v>93</v>
      </c>
      <c r="C38" s="7">
        <v>306.35000000000002</v>
      </c>
      <c r="D38" s="50">
        <f t="shared" si="0"/>
        <v>-5.6799740344044558E-3</v>
      </c>
      <c r="F38" s="126">
        <v>22795.9</v>
      </c>
      <c r="G38" s="50">
        <f t="shared" si="1"/>
        <v>-5.8157157342695331E-3</v>
      </c>
    </row>
    <row r="39" spans="2:7" x14ac:dyDescent="0.3">
      <c r="B39" s="123" t="s">
        <v>94</v>
      </c>
      <c r="C39" s="7">
        <v>277.64999999999998</v>
      </c>
      <c r="D39" s="50">
        <f t="shared" si="0"/>
        <v>-9.3683695119960997E-2</v>
      </c>
      <c r="F39" s="126">
        <v>22124.7</v>
      </c>
      <c r="G39" s="50">
        <f t="shared" si="1"/>
        <v>-2.9443891226053842E-2</v>
      </c>
    </row>
    <row r="40" spans="2:7" x14ac:dyDescent="0.3">
      <c r="B40" s="123">
        <v>45691</v>
      </c>
      <c r="C40" s="7">
        <v>284.8</v>
      </c>
      <c r="D40" s="50">
        <f t="shared" si="0"/>
        <v>2.5751845849090627E-2</v>
      </c>
      <c r="F40" s="126">
        <v>22552.5</v>
      </c>
      <c r="G40" s="50">
        <f t="shared" si="1"/>
        <v>1.9335855401429125E-2</v>
      </c>
    </row>
    <row r="41" spans="2:7" x14ac:dyDescent="0.3">
      <c r="B41" s="123">
        <v>45903</v>
      </c>
      <c r="C41" s="7">
        <v>264</v>
      </c>
      <c r="D41" s="50">
        <f t="shared" si="0"/>
        <v>-7.3033707865168607E-2</v>
      </c>
      <c r="F41" s="126">
        <v>22397.200000000001</v>
      </c>
      <c r="G41" s="50">
        <f t="shared" si="1"/>
        <v>-6.8861545283227521E-3</v>
      </c>
    </row>
    <row r="42" spans="2:7" x14ac:dyDescent="0.3">
      <c r="B42" s="123" t="s">
        <v>95</v>
      </c>
      <c r="C42" s="7">
        <v>264.3</v>
      </c>
      <c r="D42" s="50">
        <f t="shared" si="0"/>
        <v>1.1363636363637131E-3</v>
      </c>
      <c r="F42" s="126">
        <v>23350.400000000001</v>
      </c>
      <c r="G42" s="50">
        <f t="shared" si="1"/>
        <v>4.2558891289982803E-2</v>
      </c>
    </row>
    <row r="43" spans="2:7" x14ac:dyDescent="0.3">
      <c r="B43" s="123" t="s">
        <v>96</v>
      </c>
      <c r="C43" s="7">
        <v>262.25</v>
      </c>
      <c r="D43" s="50">
        <f t="shared" si="0"/>
        <v>-7.7563374952706043E-3</v>
      </c>
      <c r="F43" s="126">
        <v>23519.35</v>
      </c>
      <c r="G43" s="50">
        <f t="shared" si="1"/>
        <v>7.2354220912702605E-3</v>
      </c>
    </row>
    <row r="44" spans="2:7" x14ac:dyDescent="0.3">
      <c r="B44" s="123" t="s">
        <v>97</v>
      </c>
      <c r="C44" s="7">
        <v>246.3</v>
      </c>
      <c r="D44" s="50">
        <f t="shared" si="0"/>
        <v>-6.0819828408007592E-2</v>
      </c>
      <c r="F44" s="126">
        <v>22904.45</v>
      </c>
      <c r="G44" s="50">
        <f t="shared" si="1"/>
        <v>-2.6144430011883713E-2</v>
      </c>
    </row>
    <row r="45" spans="2:7" x14ac:dyDescent="0.3">
      <c r="B45" s="123">
        <v>45812</v>
      </c>
      <c r="C45" s="7">
        <v>239.75</v>
      </c>
      <c r="D45" s="50">
        <f t="shared" si="0"/>
        <v>-2.6593585058871327E-2</v>
      </c>
      <c r="F45" s="126">
        <v>22828.55</v>
      </c>
      <c r="G45" s="50">
        <f t="shared" si="1"/>
        <v>-3.3137665388167648E-3</v>
      </c>
    </row>
    <row r="46" spans="2:7" x14ac:dyDescent="0.3">
      <c r="B46" s="123" t="s">
        <v>98</v>
      </c>
      <c r="C46" s="7">
        <v>236.9</v>
      </c>
      <c r="D46" s="50">
        <f t="shared" si="0"/>
        <v>-1.1887382690302428E-2</v>
      </c>
      <c r="F46" s="126">
        <v>23851.65</v>
      </c>
      <c r="G46" s="50">
        <f t="shared" si="1"/>
        <v>4.4816687875489425E-2</v>
      </c>
    </row>
    <row r="47" spans="2:7" x14ac:dyDescent="0.3">
      <c r="B47" s="123" t="s">
        <v>99</v>
      </c>
      <c r="C47" s="7">
        <v>240.9</v>
      </c>
      <c r="D47" s="50">
        <f t="shared" si="0"/>
        <v>1.6884761502743872E-2</v>
      </c>
      <c r="F47" s="126">
        <v>24039.35</v>
      </c>
      <c r="G47" s="50">
        <f t="shared" si="1"/>
        <v>7.86947653516612E-3</v>
      </c>
    </row>
    <row r="48" spans="2:7" x14ac:dyDescent="0.3">
      <c r="B48" s="123" t="s">
        <v>100</v>
      </c>
      <c r="C48" s="7">
        <v>242.87</v>
      </c>
      <c r="D48" s="50">
        <f t="shared" si="0"/>
        <v>8.1776670817765851E-3</v>
      </c>
      <c r="F48" s="126">
        <v>24346.7</v>
      </c>
      <c r="G48" s="50">
        <f t="shared" si="1"/>
        <v>1.2785287455775673E-2</v>
      </c>
    </row>
    <row r="49" spans="2:7" x14ac:dyDescent="0.3">
      <c r="B49" s="123">
        <v>45752</v>
      </c>
      <c r="C49" s="7">
        <v>242.01</v>
      </c>
      <c r="D49" s="50">
        <f t="shared" si="0"/>
        <v>-3.540989006464379E-3</v>
      </c>
      <c r="F49" s="126">
        <v>24008</v>
      </c>
      <c r="G49" s="50">
        <f t="shared" si="1"/>
        <v>-1.391153626569519E-2</v>
      </c>
    </row>
    <row r="50" spans="2:7" x14ac:dyDescent="0.3">
      <c r="B50" s="123">
        <v>45966</v>
      </c>
      <c r="C50" s="7">
        <v>254.31</v>
      </c>
      <c r="D50" s="50">
        <f t="shared" si="0"/>
        <v>5.0824346101400852E-2</v>
      </c>
      <c r="F50" s="126">
        <v>25019.8</v>
      </c>
      <c r="G50" s="50">
        <f t="shared" si="1"/>
        <v>4.2144285238253865E-2</v>
      </c>
    </row>
    <row r="51" spans="2:7" x14ac:dyDescent="0.3">
      <c r="B51" s="123" t="s">
        <v>101</v>
      </c>
      <c r="C51" s="7">
        <v>247.36</v>
      </c>
      <c r="D51" s="50">
        <f t="shared" si="0"/>
        <v>-2.7328850615390587E-2</v>
      </c>
      <c r="F51" s="126">
        <v>24853.15</v>
      </c>
      <c r="G51" s="50">
        <f t="shared" si="1"/>
        <v>-6.660724706032739E-3</v>
      </c>
    </row>
    <row r="52" spans="2:7" x14ac:dyDescent="0.3">
      <c r="B52" s="123" t="s">
        <v>102</v>
      </c>
      <c r="C52" s="7">
        <v>249.67</v>
      </c>
      <c r="D52" s="50">
        <f t="shared" si="0"/>
        <v>9.3386157826649274E-3</v>
      </c>
      <c r="F52" s="126">
        <v>24750.7</v>
      </c>
      <c r="G52" s="50">
        <f t="shared" si="1"/>
        <v>-4.1222138843567402E-3</v>
      </c>
    </row>
    <row r="53" spans="2:7" x14ac:dyDescent="0.3">
      <c r="B53" s="123">
        <v>45663</v>
      </c>
      <c r="C53" s="7">
        <v>248.59</v>
      </c>
      <c r="D53" s="50">
        <f t="shared" si="0"/>
        <v>-4.325709937116895E-3</v>
      </c>
      <c r="F53" s="126">
        <v>25003.05</v>
      </c>
      <c r="G53" s="50">
        <f t="shared" si="1"/>
        <v>1.0195671233540704E-2</v>
      </c>
    </row>
    <row r="54" spans="2:7" x14ac:dyDescent="0.3">
      <c r="B54" s="123">
        <v>45875</v>
      </c>
      <c r="C54" s="7">
        <v>260.20999999999998</v>
      </c>
      <c r="D54" s="50">
        <f t="shared" si="0"/>
        <v>4.6743634096302999E-2</v>
      </c>
      <c r="F54" s="126">
        <v>24718.6</v>
      </c>
      <c r="G54" s="50">
        <f t="shared" si="1"/>
        <v>-1.1376612053329516E-2</v>
      </c>
    </row>
    <row r="55" spans="2:7" x14ac:dyDescent="0.3">
      <c r="B55" s="123" t="s">
        <v>103</v>
      </c>
      <c r="C55" s="7">
        <v>266.54000000000002</v>
      </c>
      <c r="D55" s="50">
        <f t="shared" si="0"/>
        <v>2.4326505514776775E-2</v>
      </c>
      <c r="F55" s="126">
        <v>25112.400000000001</v>
      </c>
      <c r="G55" s="50">
        <f t="shared" si="1"/>
        <v>1.5931322971365791E-2</v>
      </c>
    </row>
    <row r="56" spans="2:7" x14ac:dyDescent="0.3">
      <c r="B56" s="123" t="s">
        <v>104</v>
      </c>
      <c r="C56" s="7">
        <v>265.05</v>
      </c>
      <c r="D56" s="50">
        <f t="shared" si="0"/>
        <v>-5.5901553237788226E-3</v>
      </c>
      <c r="F56" s="126">
        <v>25637.8</v>
      </c>
      <c r="G56" s="50">
        <f t="shared" si="1"/>
        <v>2.092193498032846E-2</v>
      </c>
    </row>
    <row r="57" spans="2:7" x14ac:dyDescent="0.3">
      <c r="B57" s="123" t="s">
        <v>105</v>
      </c>
      <c r="C57" s="7">
        <v>270.05</v>
      </c>
      <c r="D57" s="50">
        <f t="shared" si="0"/>
        <v>1.8864365214110501E-2</v>
      </c>
      <c r="F57" s="126">
        <v>25461</v>
      </c>
      <c r="G57" s="50">
        <f t="shared" si="1"/>
        <v>-6.8960675252947023E-3</v>
      </c>
    </row>
    <row r="58" spans="2:7" x14ac:dyDescent="0.3">
      <c r="B58" s="123">
        <v>45815</v>
      </c>
      <c r="C58" s="7">
        <v>258.3</v>
      </c>
      <c r="D58" s="50">
        <f t="shared" si="0"/>
        <v>-4.3510461025735969E-2</v>
      </c>
      <c r="F58" s="126">
        <v>25149.85</v>
      </c>
      <c r="G58" s="50">
        <f t="shared" si="1"/>
        <v>-1.2220651192019205E-2</v>
      </c>
    </row>
    <row r="59" spans="2:7" x14ac:dyDescent="0.3">
      <c r="B59" s="123" t="s">
        <v>106</v>
      </c>
      <c r="C59" s="7">
        <v>266.95</v>
      </c>
      <c r="D59" s="50">
        <f t="shared" si="0"/>
        <v>3.3488192024777375E-2</v>
      </c>
      <c r="F59" s="126">
        <v>24968.400000000001</v>
      </c>
      <c r="G59" s="50">
        <f t="shared" si="1"/>
        <v>-7.214754759968578E-3</v>
      </c>
    </row>
    <row r="60" spans="2:7" x14ac:dyDescent="0.3">
      <c r="B60" s="123" t="s">
        <v>107</v>
      </c>
      <c r="C60" s="7">
        <v>259.2</v>
      </c>
      <c r="D60" s="50">
        <f t="shared" si="0"/>
        <v>-2.9031653867765517E-2</v>
      </c>
      <c r="F60" s="126">
        <v>24837</v>
      </c>
      <c r="G60" s="50">
        <f t="shared" si="1"/>
        <v>-5.2626519921180615E-3</v>
      </c>
    </row>
    <row r="61" spans="2:7" x14ac:dyDescent="0.3">
      <c r="B61" s="123" t="s">
        <v>108</v>
      </c>
      <c r="C61" s="7">
        <v>242.75</v>
      </c>
      <c r="D61" s="50">
        <f t="shared" si="0"/>
        <v>-6.3464506172839497E-2</v>
      </c>
      <c r="F61" s="126">
        <v>24565.35</v>
      </c>
      <c r="G61" s="50">
        <f t="shared" si="1"/>
        <v>-1.0937311269477057E-2</v>
      </c>
    </row>
    <row r="62" spans="2:7" x14ac:dyDescent="0.3">
      <c r="B62" s="123">
        <v>45724</v>
      </c>
      <c r="C62" s="7">
        <v>239.05</v>
      </c>
      <c r="D62" s="50">
        <f t="shared" si="0"/>
        <v>-1.5242018537590107E-2</v>
      </c>
      <c r="F62" s="126">
        <v>24363.3</v>
      </c>
      <c r="G62" s="50">
        <f t="shared" si="1"/>
        <v>-8.2249998473459263E-3</v>
      </c>
    </row>
    <row r="63" spans="2:7" x14ac:dyDescent="0.3">
      <c r="B63" s="123">
        <v>45938</v>
      </c>
      <c r="C63" s="7">
        <v>246.81</v>
      </c>
      <c r="D63" s="50">
        <f t="shared" si="0"/>
        <v>3.2461828069441534E-2</v>
      </c>
      <c r="F63" s="126">
        <v>24631.3</v>
      </c>
      <c r="G63" s="50">
        <f t="shared" si="1"/>
        <v>1.100015186776826E-2</v>
      </c>
    </row>
    <row r="64" spans="2:7" x14ac:dyDescent="0.3">
      <c r="B64" s="123" t="s">
        <v>109</v>
      </c>
      <c r="C64" s="7">
        <v>248.64</v>
      </c>
      <c r="D64" s="50">
        <f t="shared" si="0"/>
        <v>7.4146104290748749E-3</v>
      </c>
      <c r="F64" s="126">
        <v>24870.1</v>
      </c>
      <c r="G64" s="50">
        <f t="shared" si="1"/>
        <v>9.6949815884666002E-3</v>
      </c>
    </row>
    <row r="65" spans="2:7" x14ac:dyDescent="0.3">
      <c r="B65" s="123" t="s">
        <v>110</v>
      </c>
      <c r="C65" s="7">
        <v>249.41</v>
      </c>
      <c r="D65" s="50">
        <f t="shared" si="0"/>
        <v>3.0968468468468568E-3</v>
      </c>
      <c r="F65" s="126">
        <v>24426.85</v>
      </c>
      <c r="G65" s="50">
        <f t="shared" si="1"/>
        <v>-1.7822606262138052E-2</v>
      </c>
    </row>
    <row r="66" spans="2:7" x14ac:dyDescent="0.3">
      <c r="B66" s="123" t="s">
        <v>111</v>
      </c>
      <c r="C66" s="7">
        <v>243.67</v>
      </c>
      <c r="D66" s="50">
        <f t="shared" si="0"/>
        <v>-2.30143137805221E-2</v>
      </c>
      <c r="F66" s="126">
        <v>24741</v>
      </c>
      <c r="G66" s="50">
        <f t="shared" si="1"/>
        <v>1.2860847796584585E-2</v>
      </c>
    </row>
    <row r="67" spans="2:7" x14ac:dyDescent="0.3">
      <c r="B67" s="123">
        <v>45847</v>
      </c>
      <c r="C67" s="7">
        <v>251.94</v>
      </c>
      <c r="D67" s="50">
        <f t="shared" si="0"/>
        <v>3.3939344195017984E-2</v>
      </c>
      <c r="F67" s="126">
        <v>25114</v>
      </c>
      <c r="G67" s="50">
        <f t="shared" si="1"/>
        <v>1.5076189321369338E-2</v>
      </c>
    </row>
    <row r="68" spans="2:7" x14ac:dyDescent="0.3">
      <c r="B68" s="123" t="s">
        <v>112</v>
      </c>
      <c r="C68" s="7">
        <v>255.88</v>
      </c>
      <c r="D68" s="50">
        <f t="shared" si="0"/>
        <v>1.5638644121616307E-2</v>
      </c>
      <c r="F68" s="126">
        <v>25327.05</v>
      </c>
      <c r="G68" s="50">
        <f t="shared" si="1"/>
        <v>8.4833160786812467E-3</v>
      </c>
    </row>
    <row r="69" spans="2:7" x14ac:dyDescent="0.3">
      <c r="B69" s="123" t="s">
        <v>113</v>
      </c>
      <c r="C69" s="7">
        <v>235.75</v>
      </c>
      <c r="D69" s="50">
        <f t="shared" si="0"/>
        <v>-7.8669688916679692E-2</v>
      </c>
      <c r="F69" s="126">
        <v>24654.7</v>
      </c>
      <c r="G69" s="50">
        <f t="shared" si="1"/>
        <v>-2.6546715863079107E-2</v>
      </c>
    </row>
    <row r="70" spans="2:7" x14ac:dyDescent="0.3">
      <c r="B70" s="123" t="s">
        <v>114</v>
      </c>
      <c r="C70" s="7">
        <v>240.98</v>
      </c>
      <c r="D70" s="50">
        <f t="shared" si="0"/>
        <v>2.2184517497348732E-2</v>
      </c>
      <c r="F70" s="126">
        <v>24894.25</v>
      </c>
      <c r="G70" s="50">
        <f t="shared" si="1"/>
        <v>9.7162001565624934E-3</v>
      </c>
    </row>
    <row r="71" spans="2:7" x14ac:dyDescent="0.3">
      <c r="B71" s="123">
        <v>45787</v>
      </c>
      <c r="C71" s="7">
        <v>248.7</v>
      </c>
      <c r="D71" s="50">
        <f t="shared" si="0"/>
        <v>3.2035853597808917E-2</v>
      </c>
      <c r="F71" s="126">
        <v>25285.35</v>
      </c>
      <c r="G71" s="50">
        <f t="shared" si="1"/>
        <v>1.5710455225604214E-2</v>
      </c>
    </row>
    <row r="72" spans="2:7" x14ac:dyDescent="0.3">
      <c r="B72" s="123">
        <v>46001</v>
      </c>
      <c r="C72" s="7">
        <v>240.9</v>
      </c>
      <c r="D72" s="50">
        <f t="shared" si="0"/>
        <v>-3.1363088057901001E-2</v>
      </c>
      <c r="F72" s="126">
        <v>25709.85</v>
      </c>
      <c r="G72" s="50">
        <f t="shared" si="1"/>
        <v>1.6788377459675319E-2</v>
      </c>
    </row>
    <row r="73" spans="2:7" x14ac:dyDescent="0.3">
      <c r="B73" s="123" t="s">
        <v>115</v>
      </c>
      <c r="C73" s="7">
        <v>242.98</v>
      </c>
      <c r="D73" s="50">
        <f t="shared" si="0"/>
        <v>8.6342880863428118E-3</v>
      </c>
      <c r="F73" s="126">
        <v>25795.15</v>
      </c>
      <c r="G73" s="50">
        <f t="shared" si="1"/>
        <v>3.3177945417808274E-3</v>
      </c>
    </row>
    <row r="74" spans="2:7" x14ac:dyDescent="0.3">
      <c r="B74" s="123" t="s">
        <v>116</v>
      </c>
      <c r="C74" s="7">
        <v>240.67</v>
      </c>
      <c r="D74" s="50">
        <f t="shared" si="0"/>
        <v>-9.5069553049633715E-3</v>
      </c>
      <c r="F74" s="126">
        <v>25722.1</v>
      </c>
      <c r="G74" s="50">
        <f t="shared" si="1"/>
        <v>-2.8319277073404203E-3</v>
      </c>
    </row>
    <row r="75" spans="2:7" x14ac:dyDescent="0.3">
      <c r="B75" s="123">
        <v>45699</v>
      </c>
      <c r="C75" s="7">
        <v>236.49</v>
      </c>
      <c r="D75" s="50">
        <f t="shared" ref="D75:D138" si="2">C75/C74-1</f>
        <v>-1.7368180496114882E-2</v>
      </c>
      <c r="F75" s="126">
        <v>25492.3</v>
      </c>
      <c r="G75" s="50">
        <f t="shared" ref="G75:G138" si="3">F75/F74-1</f>
        <v>-8.9339517379996014E-3</v>
      </c>
    </row>
    <row r="76" spans="2:7" x14ac:dyDescent="0.3">
      <c r="B76" s="123">
        <v>45911</v>
      </c>
      <c r="C76" s="7">
        <v>244.37</v>
      </c>
      <c r="D76" s="50">
        <f t="shared" si="2"/>
        <v>3.3320647807518311E-2</v>
      </c>
      <c r="F76" s="126">
        <v>25910.05</v>
      </c>
      <c r="G76" s="50">
        <f t="shared" si="3"/>
        <v>1.6387301263518728E-2</v>
      </c>
    </row>
    <row r="77" spans="2:7" x14ac:dyDescent="0.3">
      <c r="B77" s="123" t="s">
        <v>117</v>
      </c>
      <c r="C77" s="7">
        <v>244.49</v>
      </c>
      <c r="D77" s="50">
        <f t="shared" si="2"/>
        <v>4.9105864058596183E-4</v>
      </c>
      <c r="F77" s="126">
        <v>26068.15</v>
      </c>
      <c r="G77" s="50">
        <f t="shared" si="3"/>
        <v>6.1018793865701415E-3</v>
      </c>
    </row>
    <row r="78" spans="2:7" x14ac:dyDescent="0.3">
      <c r="B78" s="123" t="s">
        <v>118</v>
      </c>
      <c r="C78" s="7">
        <v>249.53</v>
      </c>
      <c r="D78" s="50">
        <f t="shared" si="2"/>
        <v>2.0614340054808E-2</v>
      </c>
      <c r="F78" s="126">
        <v>26202.95</v>
      </c>
      <c r="G78" s="50">
        <f t="shared" si="3"/>
        <v>5.1710612375637233E-3</v>
      </c>
    </row>
    <row r="79" spans="2:7" x14ac:dyDescent="0.3">
      <c r="B79" s="123" t="s">
        <v>119</v>
      </c>
      <c r="C79" s="7">
        <v>259.91000000000003</v>
      </c>
      <c r="D79" s="50">
        <f t="shared" si="2"/>
        <v>4.1598204624694546E-2</v>
      </c>
      <c r="F79" s="126">
        <v>26186.45</v>
      </c>
      <c r="G79" s="50">
        <f t="shared" si="3"/>
        <v>-6.297000910202577E-4</v>
      </c>
    </row>
    <row r="80" spans="2:7" x14ac:dyDescent="0.3">
      <c r="B80" s="123">
        <v>45850</v>
      </c>
      <c r="C80" s="7">
        <v>260.60000000000002</v>
      </c>
      <c r="D80" s="50">
        <f t="shared" si="2"/>
        <v>2.6547651110000459E-3</v>
      </c>
      <c r="F80" s="126">
        <v>26046.95</v>
      </c>
      <c r="G80" s="50">
        <f t="shared" si="3"/>
        <v>-5.3271825696113995E-3</v>
      </c>
    </row>
    <row r="81" spans="2:7" x14ac:dyDescent="0.3">
      <c r="B81" s="123" t="s">
        <v>120</v>
      </c>
      <c r="C81" s="7">
        <v>264.45</v>
      </c>
      <c r="D81" s="50">
        <f t="shared" si="2"/>
        <v>1.4773599386032066E-2</v>
      </c>
      <c r="F81" s="126">
        <v>25966.400000000001</v>
      </c>
      <c r="G81" s="50">
        <f t="shared" si="3"/>
        <v>-3.0924925951022475E-3</v>
      </c>
    </row>
    <row r="82" spans="2:7" x14ac:dyDescent="0.3">
      <c r="B82" s="123" t="s">
        <v>121</v>
      </c>
      <c r="C82" s="7">
        <v>266.3</v>
      </c>
      <c r="D82" s="50">
        <f t="shared" si="2"/>
        <v>6.9956513518625307E-3</v>
      </c>
      <c r="F82" s="126">
        <v>26042.3</v>
      </c>
      <c r="G82" s="50">
        <f t="shared" si="3"/>
        <v>2.9230081952060782E-3</v>
      </c>
    </row>
    <row r="83" spans="2:7" x14ac:dyDescent="0.3">
      <c r="B83" s="123" t="s">
        <v>122</v>
      </c>
      <c r="C83" s="7">
        <v>269</v>
      </c>
      <c r="D83" s="50">
        <f t="shared" si="2"/>
        <v>1.0138941043935423E-2</v>
      </c>
      <c r="F83" s="126">
        <v>26328.55</v>
      </c>
      <c r="G83" s="50">
        <f t="shared" si="3"/>
        <v>1.0991732681061128E-2</v>
      </c>
    </row>
    <row r="84" spans="2:7" x14ac:dyDescent="0.3">
      <c r="B84" s="123">
        <v>46113</v>
      </c>
      <c r="C84" s="7">
        <v>261.95</v>
      </c>
      <c r="D84" s="50">
        <f t="shared" si="2"/>
        <v>-2.6208178438661744E-2</v>
      </c>
      <c r="F84" s="126">
        <v>25683.3</v>
      </c>
      <c r="G84" s="50">
        <f t="shared" si="3"/>
        <v>-2.4507616256877029E-2</v>
      </c>
    </row>
    <row r="85" spans="2:7" x14ac:dyDescent="0.3">
      <c r="B85" s="123">
        <v>46327</v>
      </c>
      <c r="C85" s="7">
        <v>267.45</v>
      </c>
      <c r="D85" s="50">
        <f t="shared" si="2"/>
        <v>2.0996373353693532E-2</v>
      </c>
      <c r="F85" s="126">
        <v>25694.35</v>
      </c>
      <c r="G85" s="50">
        <f t="shared" si="3"/>
        <v>4.3024066222008273E-4</v>
      </c>
    </row>
    <row r="86" spans="2:7" x14ac:dyDescent="0.3">
      <c r="B86" s="123" t="s">
        <v>123</v>
      </c>
      <c r="C86" s="7">
        <v>238.4</v>
      </c>
      <c r="D86" s="50">
        <f t="shared" si="2"/>
        <v>-0.10861843335202837</v>
      </c>
      <c r="F86" s="126">
        <v>25048.65</v>
      </c>
      <c r="G86" s="50">
        <f t="shared" si="3"/>
        <v>-2.5130038315816394E-2</v>
      </c>
    </row>
    <row r="87" spans="2:7" x14ac:dyDescent="0.3">
      <c r="B87" s="123" t="s">
        <v>124</v>
      </c>
      <c r="C87" s="7">
        <v>236.9</v>
      </c>
      <c r="D87" s="50">
        <f t="shared" si="2"/>
        <v>-6.2919463087248717E-3</v>
      </c>
      <c r="F87" s="126">
        <v>25320.65</v>
      </c>
      <c r="G87" s="50">
        <f t="shared" si="3"/>
        <v>1.0858868641623332E-2</v>
      </c>
    </row>
    <row r="88" spans="2:7" x14ac:dyDescent="0.3">
      <c r="B88" s="123">
        <v>46024</v>
      </c>
      <c r="C88" s="7">
        <v>230.72</v>
      </c>
      <c r="D88" s="50">
        <f t="shared" si="2"/>
        <v>-2.6086956521739202E-2</v>
      </c>
      <c r="F88" s="126">
        <v>25693.7</v>
      </c>
      <c r="G88" s="50">
        <f t="shared" si="3"/>
        <v>1.4733034104574605E-2</v>
      </c>
    </row>
    <row r="89" spans="2:7" x14ac:dyDescent="0.3">
      <c r="B89" s="123">
        <v>46236</v>
      </c>
      <c r="C89" s="7">
        <v>214.09</v>
      </c>
      <c r="D89" s="50">
        <f t="shared" si="2"/>
        <v>-7.2078710124826584E-2</v>
      </c>
      <c r="F89" s="126">
        <v>25471.1</v>
      </c>
      <c r="G89" s="50">
        <f t="shared" si="3"/>
        <v>-8.6636023616685209E-3</v>
      </c>
    </row>
    <row r="90" spans="2:7" x14ac:dyDescent="0.3">
      <c r="B90" s="123" t="s">
        <v>125</v>
      </c>
      <c r="C90" s="7">
        <v>209.86</v>
      </c>
      <c r="D90" s="50">
        <f t="shared" si="2"/>
        <v>-1.9758045681722569E-2</v>
      </c>
      <c r="F90" s="126">
        <v>25571.25</v>
      </c>
      <c r="G90" s="50">
        <f t="shared" si="3"/>
        <v>3.9319071418195684E-3</v>
      </c>
    </row>
    <row r="91" spans="2:7" x14ac:dyDescent="0.3">
      <c r="B91" s="123" t="s">
        <v>126</v>
      </c>
      <c r="C91" s="7">
        <v>200.96</v>
      </c>
      <c r="D91" s="50">
        <f t="shared" si="2"/>
        <v>-4.2409225197750922E-2</v>
      </c>
      <c r="F91" s="126">
        <v>25178.65</v>
      </c>
      <c r="G91" s="50">
        <f t="shared" si="3"/>
        <v>-1.5353179840641329E-2</v>
      </c>
    </row>
    <row r="92" spans="2:7" x14ac:dyDescent="0.3">
      <c r="B92" s="123">
        <v>46025</v>
      </c>
      <c r="C92" s="7">
        <v>195.4</v>
      </c>
      <c r="D92" s="50">
        <f t="shared" si="2"/>
        <v>-2.7667197452229342E-2</v>
      </c>
      <c r="F92" s="126">
        <v>24450.45</v>
      </c>
      <c r="G92" s="50">
        <f t="shared" si="3"/>
        <v>-2.892132818876314E-2</v>
      </c>
    </row>
    <row r="93" spans="2:7" x14ac:dyDescent="0.3">
      <c r="B93" s="123">
        <v>46237</v>
      </c>
      <c r="C93" s="7">
        <v>197.58</v>
      </c>
      <c r="D93" s="50">
        <f t="shared" si="2"/>
        <v>1.1156601842374547E-2</v>
      </c>
      <c r="F93" s="126">
        <v>23151.1</v>
      </c>
      <c r="G93" s="50">
        <f t="shared" si="3"/>
        <v>-5.3142171207482991E-2</v>
      </c>
    </row>
    <row r="94" spans="2:7" x14ac:dyDescent="0.3">
      <c r="B94" s="123" t="s">
        <v>127</v>
      </c>
      <c r="C94" s="7">
        <v>190.9</v>
      </c>
      <c r="D94" s="50">
        <f t="shared" si="2"/>
        <v>-3.3809089988865337E-2</v>
      </c>
      <c r="F94" s="126">
        <v>23114.5</v>
      </c>
      <c r="G94" s="50">
        <f t="shared" si="3"/>
        <v>-1.5809184012853805E-3</v>
      </c>
    </row>
    <row r="95" spans="2:7" x14ac:dyDescent="0.3">
      <c r="B95" s="123" t="s">
        <v>128</v>
      </c>
      <c r="C95" s="7">
        <v>191.6</v>
      </c>
      <c r="D95" s="50">
        <f t="shared" si="2"/>
        <v>3.6668412781559745E-3</v>
      </c>
      <c r="F95" s="126">
        <v>22819.599999999999</v>
      </c>
      <c r="G95" s="50">
        <f t="shared" si="3"/>
        <v>-1.275822535637805E-2</v>
      </c>
    </row>
    <row r="96" spans="2:7" x14ac:dyDescent="0.3">
      <c r="B96" s="123" t="s">
        <v>129</v>
      </c>
      <c r="C96" s="7">
        <v>194.91</v>
      </c>
      <c r="D96" s="50">
        <f t="shared" si="2"/>
        <v>1.7275574112734837E-2</v>
      </c>
      <c r="F96" s="126">
        <v>22713.1</v>
      </c>
      <c r="G96" s="50">
        <f t="shared" si="3"/>
        <v>-4.6670406142088616E-3</v>
      </c>
    </row>
    <row r="97" spans="2:7" x14ac:dyDescent="0.3">
      <c r="B97" s="123">
        <v>46146</v>
      </c>
      <c r="C97" s="7">
        <v>204.88</v>
      </c>
      <c r="D97" s="50">
        <f t="shared" si="2"/>
        <v>5.1151813657585476E-2</v>
      </c>
      <c r="F97" s="126">
        <v>24050.6</v>
      </c>
      <c r="G97" s="50">
        <f t="shared" si="3"/>
        <v>5.8886721759689342E-2</v>
      </c>
    </row>
    <row r="98" spans="2:7" x14ac:dyDescent="0.3">
      <c r="B98" s="123">
        <v>46360</v>
      </c>
      <c r="C98" s="7">
        <v>204.32</v>
      </c>
      <c r="D98" s="50">
        <f t="shared" si="2"/>
        <v>-2.7333073018351861E-3</v>
      </c>
      <c r="F98" s="126">
        <v>24353.55</v>
      </c>
      <c r="G98" s="50">
        <f t="shared" si="3"/>
        <v>1.2596359342386565E-2</v>
      </c>
    </row>
    <row r="99" spans="2:7" x14ac:dyDescent="0.3">
      <c r="B99" s="123" t="s">
        <v>130</v>
      </c>
      <c r="C99" s="7">
        <v>199.36</v>
      </c>
      <c r="D99" s="50">
        <f t="shared" si="2"/>
        <v>-2.4275646045418875E-2</v>
      </c>
      <c r="F99" s="126">
        <v>23897.95</v>
      </c>
      <c r="G99" s="50">
        <f t="shared" si="3"/>
        <v>-1.8707744866764742E-2</v>
      </c>
    </row>
    <row r="100" spans="2:7" x14ac:dyDescent="0.3">
      <c r="B100" s="123" t="s">
        <v>131</v>
      </c>
      <c r="C100" s="7">
        <v>200.65</v>
      </c>
      <c r="D100" s="50">
        <f t="shared" si="2"/>
        <v>6.4707062600319887E-3</v>
      </c>
      <c r="F100" s="126">
        <v>23997.55</v>
      </c>
      <c r="G100" s="50">
        <f t="shared" si="3"/>
        <v>4.167721499124255E-3</v>
      </c>
    </row>
    <row r="101" spans="2:7" x14ac:dyDescent="0.3">
      <c r="B101" s="123">
        <v>46086</v>
      </c>
      <c r="C101" s="7">
        <v>197.91</v>
      </c>
      <c r="D101" s="50">
        <f t="shared" si="2"/>
        <v>-1.3655619237478267E-2</v>
      </c>
      <c r="F101" s="126">
        <v>24176.15</v>
      </c>
      <c r="G101" s="50">
        <f t="shared" si="3"/>
        <v>7.4424264143633234E-3</v>
      </c>
    </row>
    <row r="102" spans="2:7" x14ac:dyDescent="0.3">
      <c r="B102" s="123">
        <v>46300</v>
      </c>
      <c r="C102" s="7">
        <v>190</v>
      </c>
      <c r="D102" s="50">
        <f t="shared" si="2"/>
        <v>-3.9967662068617016E-2</v>
      </c>
      <c r="F102" s="126">
        <v>23643.5</v>
      </c>
      <c r="G102" s="50">
        <f t="shared" si="3"/>
        <v>-2.2032043977225579E-2</v>
      </c>
    </row>
    <row r="103" spans="2:7" x14ac:dyDescent="0.3">
      <c r="B103" s="123" t="s">
        <v>132</v>
      </c>
      <c r="C103" s="7">
        <v>203.11</v>
      </c>
      <c r="D103" s="50">
        <f t="shared" si="2"/>
        <v>6.9000000000000172E-2</v>
      </c>
      <c r="F103" s="126">
        <v>23719.3</v>
      </c>
      <c r="G103" s="50">
        <f t="shared" si="3"/>
        <v>3.2059551250871454E-3</v>
      </c>
    </row>
    <row r="104" spans="2:7" x14ac:dyDescent="0.3">
      <c r="B104" s="123" t="s">
        <v>133</v>
      </c>
      <c r="C104" s="7">
        <v>204.25</v>
      </c>
      <c r="D104" s="50">
        <f t="shared" si="2"/>
        <v>5.6127221702524377E-3</v>
      </c>
      <c r="F104" s="126">
        <v>23547.75</v>
      </c>
      <c r="G104" s="50">
        <f t="shared" si="3"/>
        <v>-7.2325068615008981E-3</v>
      </c>
    </row>
    <row r="105" spans="2:7" x14ac:dyDescent="0.3">
      <c r="B105" s="123" t="s">
        <v>134</v>
      </c>
      <c r="C105" s="7">
        <v>198.37</v>
      </c>
      <c r="D105" s="50">
        <f t="shared" si="2"/>
        <v>-2.8788249694002399E-2</v>
      </c>
      <c r="F105" s="126">
        <v>23366.7</v>
      </c>
      <c r="G105" s="50">
        <f t="shared" si="3"/>
        <v>-7.6886326719113329E-3</v>
      </c>
    </row>
    <row r="106" spans="2:7" x14ac:dyDescent="0.3">
      <c r="B106" s="123">
        <v>46209</v>
      </c>
      <c r="C106" s="7">
        <v>180.14</v>
      </c>
      <c r="D106" s="50">
        <f t="shared" si="2"/>
        <v>-9.1898976659777309E-2</v>
      </c>
      <c r="F106" s="126">
        <v>23622.9</v>
      </c>
      <c r="G106" s="50">
        <f t="shared" si="3"/>
        <v>1.0964321020940027E-2</v>
      </c>
    </row>
    <row r="107" spans="2:7" x14ac:dyDescent="0.3">
      <c r="B107" s="123" t="s">
        <v>135</v>
      </c>
      <c r="C107" s="7">
        <v>180.8</v>
      </c>
      <c r="D107" s="50">
        <f t="shared" si="2"/>
        <v>3.6638170311980023E-3</v>
      </c>
      <c r="F107" s="126">
        <v>24013.1</v>
      </c>
      <c r="G107" s="50">
        <f t="shared" si="3"/>
        <v>1.6517870371546062E-2</v>
      </c>
    </row>
    <row r="108" spans="2:7" x14ac:dyDescent="0.3">
      <c r="B108" s="123" t="s">
        <v>136</v>
      </c>
      <c r="C108" s="7">
        <v>175</v>
      </c>
      <c r="D108" s="50">
        <f t="shared" si="2"/>
        <v>-3.2079646017699193E-2</v>
      </c>
      <c r="F108" s="126">
        <v>24056</v>
      </c>
      <c r="G108" s="50">
        <f t="shared" si="3"/>
        <v>1.7865248551833801E-3</v>
      </c>
    </row>
    <row r="109" spans="2:7" x14ac:dyDescent="0.3">
      <c r="B109" s="123" t="s">
        <v>137</v>
      </c>
      <c r="C109" s="7">
        <v>176.08</v>
      </c>
      <c r="D109" s="50">
        <f t="shared" si="2"/>
        <v>6.1714285714287165E-3</v>
      </c>
      <c r="F109" s="126">
        <v>24270.85</v>
      </c>
      <c r="G109" s="50">
        <f t="shared" si="3"/>
        <v>8.9312437645492349E-3</v>
      </c>
    </row>
    <row r="110" spans="2:7" x14ac:dyDescent="0.3">
      <c r="B110" s="123">
        <v>46149</v>
      </c>
      <c r="C110" s="7">
        <v>175.46</v>
      </c>
      <c r="D110" s="50">
        <f t="shared" si="2"/>
        <v>-3.5211267605633756E-3</v>
      </c>
      <c r="F110" s="126">
        <v>24206.9</v>
      </c>
      <c r="G110" s="50">
        <f t="shared" si="3"/>
        <v>-2.6348479760699428E-3</v>
      </c>
    </row>
    <row r="111" spans="2:7" x14ac:dyDescent="0.3">
      <c r="B111" s="123">
        <v>46363</v>
      </c>
      <c r="C111" s="7">
        <v>176</v>
      </c>
      <c r="D111" s="50">
        <f t="shared" si="2"/>
        <v>3.0776245298074212E-3</v>
      </c>
      <c r="F111" s="126">
        <v>24334.3</v>
      </c>
      <c r="G111" s="50">
        <f t="shared" si="3"/>
        <v>5.262962213253175E-3</v>
      </c>
    </row>
    <row r="112" spans="2:7" x14ac:dyDescent="0.3">
      <c r="B112" s="123" t="s">
        <v>138</v>
      </c>
      <c r="C112" s="7">
        <v>177.12</v>
      </c>
      <c r="D112" s="50">
        <f t="shared" si="2"/>
        <v>6.3636363636363491E-3</v>
      </c>
      <c r="F112" s="126">
        <v>23767.45</v>
      </c>
      <c r="G112" s="50">
        <f t="shared" si="3"/>
        <v>-2.3294280090242925E-2</v>
      </c>
    </row>
    <row r="113" spans="2:7" x14ac:dyDescent="0.3">
      <c r="B113" s="123" t="s">
        <v>484</v>
      </c>
      <c r="C113" s="7">
        <v>183.61</v>
      </c>
      <c r="D113" s="50">
        <f t="shared" si="2"/>
        <v>3.6641824751580954E-2</v>
      </c>
      <c r="F113" s="126">
        <v>23842.65</v>
      </c>
      <c r="G113" s="50">
        <f t="shared" si="3"/>
        <v>3.1639910886527289E-3</v>
      </c>
    </row>
    <row r="114" spans="2:7" x14ac:dyDescent="0.3">
      <c r="B114" s="123" t="s">
        <v>147</v>
      </c>
      <c r="C114" s="126">
        <v>538.1</v>
      </c>
      <c r="D114" s="50">
        <f t="shared" si="2"/>
        <v>1.9306682642557593</v>
      </c>
      <c r="F114" s="126">
        <v>24231.3</v>
      </c>
      <c r="G114" s="50">
        <f t="shared" si="3"/>
        <v>1.6300620946077649E-2</v>
      </c>
    </row>
    <row r="115" spans="2:7" x14ac:dyDescent="0.3">
      <c r="B115" s="123" t="s">
        <v>148</v>
      </c>
      <c r="C115" s="126">
        <v>540.04999999999995</v>
      </c>
      <c r="D115" s="50">
        <f t="shared" si="2"/>
        <v>3.6238617357366998E-3</v>
      </c>
      <c r="F115" s="126">
        <v>24196.75</v>
      </c>
      <c r="G115" s="50">
        <f t="shared" si="3"/>
        <v>-1.4258417831481962E-3</v>
      </c>
    </row>
    <row r="116" spans="2:7" x14ac:dyDescent="0.3">
      <c r="B116" s="123" t="s">
        <v>149</v>
      </c>
      <c r="C116" s="126">
        <v>534.54999999999995</v>
      </c>
      <c r="D116" s="50">
        <f t="shared" si="2"/>
        <v>-1.0184242199796301E-2</v>
      </c>
      <c r="F116" s="126">
        <v>24353.55</v>
      </c>
      <c r="G116" s="50">
        <f t="shared" si="3"/>
        <v>6.4802091189932742E-3</v>
      </c>
    </row>
    <row r="117" spans="2:7" x14ac:dyDescent="0.3">
      <c r="B117" s="123" t="s">
        <v>150</v>
      </c>
      <c r="C117" s="126">
        <v>532.70000000000005</v>
      </c>
      <c r="D117" s="50">
        <f t="shared" si="2"/>
        <v>-3.4608549247028275E-3</v>
      </c>
      <c r="F117" s="126">
        <v>24364.85</v>
      </c>
      <c r="G117" s="50">
        <f t="shared" si="3"/>
        <v>4.6399806188412995E-4</v>
      </c>
    </row>
    <row r="118" spans="2:7" x14ac:dyDescent="0.3">
      <c r="B118" s="123" t="s">
        <v>151</v>
      </c>
      <c r="C118" s="126">
        <v>541</v>
      </c>
      <c r="D118" s="50">
        <f t="shared" si="2"/>
        <v>1.5581002440397951E-2</v>
      </c>
      <c r="F118" s="126">
        <v>24576.6</v>
      </c>
      <c r="G118" s="50">
        <f t="shared" si="3"/>
        <v>8.690798424779933E-3</v>
      </c>
    </row>
    <row r="119" spans="2:7" x14ac:dyDescent="0.3">
      <c r="B119" s="123" t="s">
        <v>152</v>
      </c>
      <c r="C119" s="126">
        <v>543.95000000000005</v>
      </c>
      <c r="D119" s="50">
        <f t="shared" si="2"/>
        <v>5.4528650646950005E-3</v>
      </c>
      <c r="F119" s="126">
        <v>24378.1</v>
      </c>
      <c r="G119" s="50">
        <f t="shared" si="3"/>
        <v>-8.0767884898643727E-3</v>
      </c>
    </row>
    <row r="120" spans="2:7" x14ac:dyDescent="0.3">
      <c r="B120" s="123" t="s">
        <v>153</v>
      </c>
      <c r="C120" s="126">
        <v>537.9</v>
      </c>
      <c r="D120" s="50">
        <f t="shared" si="2"/>
        <v>-1.1122345803842415E-2</v>
      </c>
      <c r="F120" s="126">
        <v>24173.05</v>
      </c>
      <c r="G120" s="50">
        <f t="shared" si="3"/>
        <v>-8.4112379553779038E-3</v>
      </c>
    </row>
    <row r="121" spans="2:7" x14ac:dyDescent="0.3">
      <c r="B121" s="123" t="s">
        <v>154</v>
      </c>
      <c r="C121" s="126">
        <v>533.85</v>
      </c>
      <c r="D121" s="50">
        <f t="shared" si="2"/>
        <v>-7.5292805354154613E-3</v>
      </c>
      <c r="F121" s="126">
        <v>23897.95</v>
      </c>
      <c r="G121" s="50">
        <f t="shared" si="3"/>
        <v>-1.1380442269386726E-2</v>
      </c>
    </row>
    <row r="122" spans="2:7" x14ac:dyDescent="0.3">
      <c r="B122" s="123" t="s">
        <v>155</v>
      </c>
      <c r="C122" s="126">
        <v>524.4</v>
      </c>
      <c r="D122" s="50">
        <f t="shared" si="2"/>
        <v>-1.7701601573475778E-2</v>
      </c>
      <c r="F122" s="126">
        <v>24092.7</v>
      </c>
      <c r="G122" s="50">
        <f t="shared" si="3"/>
        <v>8.1492345577758307E-3</v>
      </c>
    </row>
    <row r="123" spans="2:7" x14ac:dyDescent="0.3">
      <c r="B123" s="123" t="s">
        <v>156</v>
      </c>
      <c r="C123" s="126">
        <v>537</v>
      </c>
      <c r="D123" s="50">
        <f t="shared" si="2"/>
        <v>2.4027459954233388E-2</v>
      </c>
      <c r="F123" s="126">
        <v>23995.7</v>
      </c>
      <c r="G123" s="50">
        <f t="shared" si="3"/>
        <v>-4.0261157944107007E-3</v>
      </c>
    </row>
    <row r="124" spans="2:7" x14ac:dyDescent="0.3">
      <c r="B124" s="123" t="s">
        <v>157</v>
      </c>
      <c r="C124" s="126">
        <v>519.95000000000005</v>
      </c>
      <c r="D124" s="50">
        <f t="shared" si="2"/>
        <v>-3.1750465549348128E-2</v>
      </c>
      <c r="F124" s="126">
        <v>24177.65</v>
      </c>
      <c r="G124" s="50">
        <f t="shared" si="3"/>
        <v>7.5826085506986995E-3</v>
      </c>
    </row>
    <row r="125" spans="2:7" x14ac:dyDescent="0.3">
      <c r="B125" s="123" t="s">
        <v>158</v>
      </c>
      <c r="C125" s="126">
        <v>515.95000000000005</v>
      </c>
      <c r="D125" s="50">
        <f t="shared" si="2"/>
        <v>-7.6930474084047074E-3</v>
      </c>
      <c r="F125" s="126">
        <v>23997.55</v>
      </c>
      <c r="G125" s="50">
        <f t="shared" si="3"/>
        <v>-7.4490283381554168E-3</v>
      </c>
    </row>
    <row r="126" spans="2:7" x14ac:dyDescent="0.3">
      <c r="B126" s="123">
        <v>46117</v>
      </c>
      <c r="C126" s="126">
        <v>515.6</v>
      </c>
      <c r="D126" s="50">
        <f t="shared" si="2"/>
        <v>-6.7836030623125154E-4</v>
      </c>
      <c r="F126" s="126">
        <v>24119.3</v>
      </c>
      <c r="G126" s="50">
        <f t="shared" si="3"/>
        <v>5.0734345797800451E-3</v>
      </c>
    </row>
    <row r="127" spans="2:7" x14ac:dyDescent="0.3">
      <c r="B127" s="123">
        <v>46147</v>
      </c>
      <c r="C127" s="126">
        <v>506.7</v>
      </c>
      <c r="D127" s="50">
        <f t="shared" si="2"/>
        <v>-1.7261442979053632E-2</v>
      </c>
      <c r="F127" s="126">
        <v>24032.799999999999</v>
      </c>
      <c r="G127" s="50">
        <f t="shared" si="3"/>
        <v>-3.5863395703855661E-3</v>
      </c>
    </row>
    <row r="128" spans="2:7" x14ac:dyDescent="0.3">
      <c r="B128" s="123">
        <v>46178</v>
      </c>
      <c r="C128" s="126">
        <v>503.25</v>
      </c>
      <c r="D128" s="50">
        <f t="shared" si="2"/>
        <v>-6.8087625814090558E-3</v>
      </c>
      <c r="F128" s="126">
        <v>24330.95</v>
      </c>
      <c r="G128" s="50">
        <f t="shared" si="3"/>
        <v>1.2405961852135494E-2</v>
      </c>
    </row>
    <row r="129" spans="2:7" x14ac:dyDescent="0.3">
      <c r="B129" s="123">
        <v>46208</v>
      </c>
      <c r="C129" s="126">
        <v>487.75</v>
      </c>
      <c r="D129" s="50">
        <f t="shared" si="2"/>
        <v>-3.0799801291604534E-2</v>
      </c>
      <c r="F129" s="126">
        <v>24326.65</v>
      </c>
      <c r="G129" s="50">
        <f t="shared" si="3"/>
        <v>-1.7672963858783586E-4</v>
      </c>
    </row>
    <row r="130" spans="2:7" x14ac:dyDescent="0.3">
      <c r="B130" s="123">
        <v>46239</v>
      </c>
      <c r="C130" s="126">
        <v>489.25</v>
      </c>
      <c r="D130" s="50">
        <f t="shared" si="2"/>
        <v>3.075345976422339E-3</v>
      </c>
      <c r="F130" s="126">
        <v>24176.15</v>
      </c>
      <c r="G130" s="50">
        <f t="shared" si="3"/>
        <v>-6.1866307115858721E-3</v>
      </c>
    </row>
    <row r="131" spans="2:7" x14ac:dyDescent="0.3">
      <c r="B131" s="123">
        <v>46331</v>
      </c>
      <c r="C131" s="126">
        <v>489.85</v>
      </c>
      <c r="D131" s="50">
        <f t="shared" si="2"/>
        <v>1.226366888094077E-3</v>
      </c>
      <c r="F131" s="126">
        <v>23815.85</v>
      </c>
      <c r="G131" s="50">
        <f t="shared" si="3"/>
        <v>-1.4903117328441629E-2</v>
      </c>
    </row>
    <row r="132" spans="2:7" x14ac:dyDescent="0.3">
      <c r="B132" s="123">
        <v>46361</v>
      </c>
      <c r="C132" s="126">
        <v>475.95</v>
      </c>
      <c r="D132" s="50">
        <f t="shared" si="2"/>
        <v>-2.8376033479636686E-2</v>
      </c>
      <c r="F132" s="126">
        <v>23379.55</v>
      </c>
      <c r="G132" s="50">
        <f t="shared" si="3"/>
        <v>-1.8319732447088732E-2</v>
      </c>
    </row>
    <row r="133" spans="2:7" x14ac:dyDescent="0.3">
      <c r="B133" s="123" t="s">
        <v>159</v>
      </c>
      <c r="C133" s="126">
        <v>476.95</v>
      </c>
      <c r="D133" s="50">
        <f t="shared" si="2"/>
        <v>2.1010610358231929E-3</v>
      </c>
      <c r="F133" s="126">
        <v>23412.6</v>
      </c>
      <c r="G133" s="50">
        <f t="shared" si="3"/>
        <v>1.4136285771111368E-3</v>
      </c>
    </row>
    <row r="134" spans="2:7" x14ac:dyDescent="0.3">
      <c r="B134" s="123" t="s">
        <v>160</v>
      </c>
      <c r="C134" s="126">
        <v>474.35</v>
      </c>
      <c r="D134" s="50">
        <f t="shared" si="2"/>
        <v>-5.4513051682565372E-3</v>
      </c>
      <c r="F134" s="126">
        <v>23689.599999999999</v>
      </c>
      <c r="G134" s="50">
        <f t="shared" si="3"/>
        <v>1.1831236171975679E-2</v>
      </c>
    </row>
    <row r="135" spans="2:7" x14ac:dyDescent="0.3">
      <c r="B135" s="123" t="s">
        <v>161</v>
      </c>
      <c r="C135" s="126">
        <v>469.25</v>
      </c>
      <c r="D135" s="50">
        <f t="shared" si="2"/>
        <v>-1.0751554759144133E-2</v>
      </c>
      <c r="F135" s="126">
        <v>23643.5</v>
      </c>
      <c r="G135" s="50">
        <f t="shared" si="3"/>
        <v>-1.946001620964366E-3</v>
      </c>
    </row>
    <row r="136" spans="2:7" x14ac:dyDescent="0.3">
      <c r="B136" s="123" t="s">
        <v>162</v>
      </c>
      <c r="C136" s="126">
        <v>476.25</v>
      </c>
      <c r="D136" s="50">
        <f t="shared" si="2"/>
        <v>1.4917421417155019E-2</v>
      </c>
      <c r="F136" s="126">
        <v>23649.95</v>
      </c>
      <c r="G136" s="50">
        <f t="shared" si="3"/>
        <v>2.7280225008996517E-4</v>
      </c>
    </row>
    <row r="137" spans="2:7" x14ac:dyDescent="0.3">
      <c r="B137" s="123" t="s">
        <v>163</v>
      </c>
      <c r="C137" s="126">
        <v>492.7</v>
      </c>
      <c r="D137" s="50">
        <f t="shared" si="2"/>
        <v>3.4540682414698098E-2</v>
      </c>
      <c r="F137" s="126">
        <v>23618</v>
      </c>
      <c r="G137" s="50">
        <f t="shared" si="3"/>
        <v>-1.3509542303472566E-3</v>
      </c>
    </row>
    <row r="138" spans="2:7" x14ac:dyDescent="0.3">
      <c r="B138" s="123" t="s">
        <v>164</v>
      </c>
      <c r="C138" s="126">
        <v>486.85</v>
      </c>
      <c r="D138" s="50">
        <f t="shared" si="2"/>
        <v>-1.1873350923482739E-2</v>
      </c>
      <c r="F138" s="126">
        <v>23659</v>
      </c>
      <c r="G138" s="50">
        <f t="shared" si="3"/>
        <v>1.7359640951817301E-3</v>
      </c>
    </row>
    <row r="139" spans="2:7" x14ac:dyDescent="0.3">
      <c r="B139" s="123" t="s">
        <v>165</v>
      </c>
      <c r="C139" s="126">
        <v>498.5</v>
      </c>
      <c r="D139" s="50">
        <f t="shared" ref="D139:D183" si="4">C139/C138-1</f>
        <v>2.392934168635108E-2</v>
      </c>
      <c r="F139" s="126">
        <v>23654.7</v>
      </c>
      <c r="G139" s="50">
        <f t="shared" ref="G139:G183" si="5">F139/F138-1</f>
        <v>-1.8174901728729154E-4</v>
      </c>
    </row>
    <row r="140" spans="2:7" x14ac:dyDescent="0.3">
      <c r="B140" s="123" t="s">
        <v>166</v>
      </c>
      <c r="C140" s="126">
        <v>513.95000000000005</v>
      </c>
      <c r="D140" s="50">
        <f t="shared" si="4"/>
        <v>3.0992978936810633E-2</v>
      </c>
      <c r="F140" s="126">
        <v>23719.3</v>
      </c>
      <c r="G140" s="50">
        <f t="shared" si="5"/>
        <v>2.7309583296342144E-3</v>
      </c>
    </row>
    <row r="141" spans="2:7" x14ac:dyDescent="0.3">
      <c r="B141" s="123" t="s">
        <v>167</v>
      </c>
      <c r="C141" s="126">
        <v>503.75</v>
      </c>
      <c r="D141" s="50">
        <f t="shared" si="4"/>
        <v>-1.9846288549469904E-2</v>
      </c>
      <c r="F141" s="126">
        <v>24031.7</v>
      </c>
      <c r="G141" s="50">
        <f t="shared" si="5"/>
        <v>1.3170709085006838E-2</v>
      </c>
    </row>
    <row r="142" spans="2:7" x14ac:dyDescent="0.3">
      <c r="B142" s="123" t="s">
        <v>168</v>
      </c>
      <c r="C142" s="126">
        <v>510.75</v>
      </c>
      <c r="D142" s="50">
        <f t="shared" si="4"/>
        <v>1.3895781637717208E-2</v>
      </c>
      <c r="F142" s="126">
        <v>23913.7</v>
      </c>
      <c r="G142" s="50">
        <f t="shared" si="5"/>
        <v>-4.9101811357498137E-3</v>
      </c>
    </row>
    <row r="143" spans="2:7" x14ac:dyDescent="0.3">
      <c r="B143" s="123" t="s">
        <v>169</v>
      </c>
      <c r="C143" s="126">
        <v>521</v>
      </c>
      <c r="D143" s="50">
        <f t="shared" si="4"/>
        <v>2.00685266764562E-2</v>
      </c>
      <c r="F143" s="126">
        <v>23907.15</v>
      </c>
      <c r="G143" s="50">
        <f t="shared" si="5"/>
        <v>-2.7390157106588209E-4</v>
      </c>
    </row>
    <row r="144" spans="2:7" x14ac:dyDescent="0.3">
      <c r="B144" s="123" t="s">
        <v>170</v>
      </c>
      <c r="C144" s="126">
        <v>523.85</v>
      </c>
      <c r="D144" s="50">
        <f t="shared" si="4"/>
        <v>5.470249520153514E-3</v>
      </c>
      <c r="F144" s="126">
        <v>23547.75</v>
      </c>
      <c r="G144" s="50">
        <f t="shared" si="5"/>
        <v>-1.5033159535954743E-2</v>
      </c>
    </row>
    <row r="145" spans="2:7" x14ac:dyDescent="0.3">
      <c r="B145" s="123">
        <v>46028</v>
      </c>
      <c r="C145" s="126">
        <v>518.95000000000005</v>
      </c>
      <c r="D145" s="50">
        <f t="shared" si="4"/>
        <v>-9.3538226591580731E-3</v>
      </c>
      <c r="F145" s="126">
        <v>23382.6</v>
      </c>
      <c r="G145" s="50">
        <f t="shared" si="5"/>
        <v>-7.0134089244195952E-3</v>
      </c>
    </row>
    <row r="146" spans="2:7" x14ac:dyDescent="0.3">
      <c r="B146" s="123">
        <v>46059</v>
      </c>
      <c r="C146" s="126">
        <v>524.20000000000005</v>
      </c>
      <c r="D146" s="50">
        <f t="shared" si="4"/>
        <v>1.0116581558917037E-2</v>
      </c>
      <c r="F146" s="126">
        <v>23483.55</v>
      </c>
      <c r="G146" s="50">
        <f t="shared" si="5"/>
        <v>4.3173128736753164E-3</v>
      </c>
    </row>
    <row r="147" spans="2:7" x14ac:dyDescent="0.3">
      <c r="B147" s="123">
        <v>46087</v>
      </c>
      <c r="C147" s="126">
        <v>516.15</v>
      </c>
      <c r="D147" s="50">
        <f t="shared" si="4"/>
        <v>-1.5356734070965383E-2</v>
      </c>
      <c r="F147" s="126">
        <v>23405.599999999999</v>
      </c>
      <c r="G147" s="50">
        <f t="shared" si="5"/>
        <v>-3.3193448179683616E-3</v>
      </c>
    </row>
    <row r="148" spans="2:7" x14ac:dyDescent="0.3">
      <c r="B148" s="123">
        <v>46118</v>
      </c>
      <c r="C148" s="126">
        <v>513.04999999999995</v>
      </c>
      <c r="D148" s="50">
        <f t="shared" si="4"/>
        <v>-6.0060060060060927E-3</v>
      </c>
      <c r="F148" s="126">
        <v>23416.55</v>
      </c>
      <c r="G148" s="50">
        <f t="shared" si="5"/>
        <v>4.6783675701544958E-4</v>
      </c>
    </row>
    <row r="149" spans="2:7" x14ac:dyDescent="0.3">
      <c r="B149" s="123">
        <v>46148</v>
      </c>
      <c r="C149" s="126">
        <v>506.45</v>
      </c>
      <c r="D149" s="50">
        <f t="shared" si="4"/>
        <v>-1.2864243251145102E-2</v>
      </c>
      <c r="F149" s="126">
        <v>23366.7</v>
      </c>
      <c r="G149" s="50">
        <f t="shared" si="5"/>
        <v>-2.1288362290772245E-3</v>
      </c>
    </row>
    <row r="150" spans="2:7" x14ac:dyDescent="0.3">
      <c r="B150" s="123">
        <v>46240</v>
      </c>
      <c r="C150" s="126">
        <v>504.65</v>
      </c>
      <c r="D150" s="50">
        <f t="shared" si="4"/>
        <v>-3.5541514463421908E-3</v>
      </c>
      <c r="F150" s="126">
        <v>23123</v>
      </c>
      <c r="G150" s="50">
        <f t="shared" si="5"/>
        <v>-1.0429371712736502E-2</v>
      </c>
    </row>
    <row r="151" spans="2:7" x14ac:dyDescent="0.3">
      <c r="B151" s="123">
        <v>46271</v>
      </c>
      <c r="C151" s="126">
        <v>503.4</v>
      </c>
      <c r="D151" s="50">
        <f t="shared" si="4"/>
        <v>-2.4769642326364361E-3</v>
      </c>
      <c r="F151" s="126">
        <v>23242.1</v>
      </c>
      <c r="G151" s="50">
        <f t="shared" si="5"/>
        <v>5.1507157375771939E-3</v>
      </c>
    </row>
    <row r="152" spans="2:7" x14ac:dyDescent="0.3">
      <c r="B152" s="123">
        <v>46301</v>
      </c>
      <c r="C152" s="126">
        <v>500.15</v>
      </c>
      <c r="D152" s="50">
        <f t="shared" si="4"/>
        <v>-6.4560985299960683E-3</v>
      </c>
      <c r="F152" s="126">
        <v>23214.95</v>
      </c>
      <c r="G152" s="50">
        <f t="shared" si="5"/>
        <v>-1.1681388514805935E-3</v>
      </c>
    </row>
    <row r="153" spans="2:7" x14ac:dyDescent="0.3">
      <c r="B153" s="123">
        <v>46332</v>
      </c>
      <c r="C153" s="126">
        <v>502.25</v>
      </c>
      <c r="D153" s="50">
        <f t="shared" si="4"/>
        <v>4.1987403778867005E-3</v>
      </c>
      <c r="F153" s="126">
        <v>23161.599999999999</v>
      </c>
      <c r="G153" s="50">
        <f t="shared" si="5"/>
        <v>-2.2980880854794883E-3</v>
      </c>
    </row>
    <row r="154" spans="2:7" x14ac:dyDescent="0.3">
      <c r="B154" s="123">
        <v>46362</v>
      </c>
      <c r="C154" s="126">
        <v>494.1</v>
      </c>
      <c r="D154" s="50">
        <f t="shared" si="4"/>
        <v>-1.6226978596316499E-2</v>
      </c>
      <c r="F154" s="126">
        <v>23622.9</v>
      </c>
      <c r="G154" s="50">
        <f t="shared" si="5"/>
        <v>1.9916586073501108E-2</v>
      </c>
    </row>
    <row r="155" spans="2:7" x14ac:dyDescent="0.3">
      <c r="B155" s="123" t="s">
        <v>171</v>
      </c>
      <c r="C155" s="126">
        <v>499.35</v>
      </c>
      <c r="D155" s="50">
        <f t="shared" si="4"/>
        <v>1.0625379477838592E-2</v>
      </c>
      <c r="F155" s="126">
        <v>23853.9</v>
      </c>
      <c r="G155" s="50">
        <f t="shared" si="5"/>
        <v>9.7786469908436313E-3</v>
      </c>
    </row>
    <row r="156" spans="2:7" x14ac:dyDescent="0.3">
      <c r="B156" s="123" t="s">
        <v>172</v>
      </c>
      <c r="C156" s="126">
        <v>503.05</v>
      </c>
      <c r="D156" s="50">
        <f t="shared" si="4"/>
        <v>7.4096325222789972E-3</v>
      </c>
      <c r="F156" s="126">
        <v>23989.15</v>
      </c>
      <c r="G156" s="50">
        <f t="shared" si="5"/>
        <v>5.6699323800299961E-3</v>
      </c>
    </row>
    <row r="157" spans="2:7" x14ac:dyDescent="0.3">
      <c r="B157" s="123" t="s">
        <v>173</v>
      </c>
      <c r="C157" s="126">
        <v>503.65</v>
      </c>
      <c r="D157" s="50">
        <f t="shared" si="4"/>
        <v>1.1927243812741573E-3</v>
      </c>
      <c r="F157" s="126">
        <v>24085.7</v>
      </c>
      <c r="G157" s="50">
        <f t="shared" si="5"/>
        <v>4.0247361828158468E-3</v>
      </c>
    </row>
    <row r="158" spans="2:7" x14ac:dyDescent="0.3">
      <c r="B158" s="123" t="s">
        <v>174</v>
      </c>
      <c r="C158" s="126">
        <v>505.05</v>
      </c>
      <c r="D158" s="50">
        <f t="shared" si="4"/>
        <v>2.77970813064643E-3</v>
      </c>
      <c r="F158" s="126">
        <v>24168</v>
      </c>
      <c r="G158" s="50">
        <f t="shared" si="5"/>
        <v>3.4169652532414219E-3</v>
      </c>
    </row>
    <row r="159" spans="2:7" x14ac:dyDescent="0.3">
      <c r="B159" s="123" t="s">
        <v>175</v>
      </c>
      <c r="C159" s="126">
        <v>511.95</v>
      </c>
      <c r="D159" s="50">
        <f t="shared" si="4"/>
        <v>1.3662013662013583E-2</v>
      </c>
      <c r="F159" s="126">
        <v>24013.1</v>
      </c>
      <c r="G159" s="50">
        <f t="shared" si="5"/>
        <v>-6.4093015557763477E-3</v>
      </c>
    </row>
    <row r="160" spans="2:7" x14ac:dyDescent="0.3">
      <c r="B160" s="123" t="s">
        <v>176</v>
      </c>
      <c r="C160" s="126">
        <v>517</v>
      </c>
      <c r="D160" s="50">
        <f t="shared" si="4"/>
        <v>9.864244555132462E-3</v>
      </c>
      <c r="F160" s="126">
        <v>24102.9</v>
      </c>
      <c r="G160" s="50">
        <f t="shared" si="5"/>
        <v>3.7396254544395102E-3</v>
      </c>
    </row>
    <row r="161" spans="2:7" x14ac:dyDescent="0.3">
      <c r="B161" s="123" t="s">
        <v>177</v>
      </c>
      <c r="C161" s="126">
        <v>513.70000000000005</v>
      </c>
      <c r="D161" s="50">
        <f t="shared" si="4"/>
        <v>-6.382978723404209E-3</v>
      </c>
      <c r="F161" s="126">
        <v>23824.1</v>
      </c>
      <c r="G161" s="50">
        <f t="shared" si="5"/>
        <v>-1.1567072841857318E-2</v>
      </c>
    </row>
    <row r="162" spans="2:7" x14ac:dyDescent="0.3">
      <c r="B162" s="123" t="s">
        <v>178</v>
      </c>
      <c r="C162" s="126">
        <v>516.35</v>
      </c>
      <c r="D162" s="50">
        <f t="shared" si="4"/>
        <v>5.1586529102589651E-3</v>
      </c>
      <c r="F162" s="126">
        <v>24021.65</v>
      </c>
      <c r="G162" s="50">
        <f t="shared" si="5"/>
        <v>8.2920236231380784E-3</v>
      </c>
    </row>
    <row r="163" spans="2:7" x14ac:dyDescent="0.3">
      <c r="B163" s="123" t="s">
        <v>179</v>
      </c>
      <c r="C163" s="126">
        <v>508.9</v>
      </c>
      <c r="D163" s="50">
        <f t="shared" si="4"/>
        <v>-1.4428197927762287E-2</v>
      </c>
      <c r="F163" s="126">
        <v>24056</v>
      </c>
      <c r="G163" s="50">
        <f t="shared" si="5"/>
        <v>1.4299600568652426E-3</v>
      </c>
    </row>
    <row r="164" spans="2:7" x14ac:dyDescent="0.3">
      <c r="B164" s="123" t="s">
        <v>180</v>
      </c>
      <c r="C164" s="126">
        <v>505.85</v>
      </c>
      <c r="D164" s="50">
        <f t="shared" si="4"/>
        <v>-5.9933189231675676E-3</v>
      </c>
      <c r="F164" s="126">
        <v>23946.25</v>
      </c>
      <c r="G164" s="50">
        <f t="shared" si="5"/>
        <v>-4.5622713668107551E-3</v>
      </c>
    </row>
    <row r="165" spans="2:7" x14ac:dyDescent="0.3">
      <c r="B165" s="123" t="s">
        <v>181</v>
      </c>
      <c r="C165" s="126">
        <v>514.95000000000005</v>
      </c>
      <c r="D165" s="50">
        <f t="shared" si="4"/>
        <v>1.7989522585746709E-2</v>
      </c>
      <c r="F165" s="126">
        <v>23865.75</v>
      </c>
      <c r="G165" s="50">
        <f t="shared" si="5"/>
        <v>-3.3616954637991636E-3</v>
      </c>
    </row>
    <row r="166" spans="2:7" x14ac:dyDescent="0.3">
      <c r="B166" s="123">
        <v>46029</v>
      </c>
      <c r="C166" s="126">
        <v>530.54999999999995</v>
      </c>
      <c r="D166" s="50">
        <f t="shared" si="4"/>
        <v>3.0294203320710533E-2</v>
      </c>
      <c r="F166" s="126">
        <v>24005.85</v>
      </c>
      <c r="G166" s="50">
        <f t="shared" si="5"/>
        <v>5.8703371987052222E-3</v>
      </c>
    </row>
    <row r="167" spans="2:7" x14ac:dyDescent="0.3">
      <c r="B167" s="123">
        <v>46060</v>
      </c>
      <c r="C167" s="126">
        <v>530.4</v>
      </c>
      <c r="D167" s="50">
        <f t="shared" si="4"/>
        <v>-2.8272547356511524E-4</v>
      </c>
      <c r="F167" s="126">
        <v>24175.7</v>
      </c>
      <c r="G167" s="50">
        <f t="shared" si="5"/>
        <v>7.0753587146468178E-3</v>
      </c>
    </row>
    <row r="168" spans="2:7" x14ac:dyDescent="0.3">
      <c r="B168" s="123">
        <v>46088</v>
      </c>
      <c r="C168" s="126">
        <v>533</v>
      </c>
      <c r="D168" s="50">
        <f t="shared" si="4"/>
        <v>4.9019607843137081E-3</v>
      </c>
      <c r="F168" s="126">
        <v>24270.85</v>
      </c>
      <c r="G168" s="50">
        <f t="shared" si="5"/>
        <v>3.9357702155469187E-3</v>
      </c>
    </row>
    <row r="169" spans="2:7" x14ac:dyDescent="0.3">
      <c r="B169" s="123">
        <v>46180</v>
      </c>
      <c r="C169" s="126">
        <v>536.15</v>
      </c>
      <c r="D169" s="50">
        <f t="shared" si="4"/>
        <v>5.9099437148217859E-3</v>
      </c>
      <c r="F169" s="126">
        <v>24430.35</v>
      </c>
      <c r="G169" s="50">
        <f t="shared" si="5"/>
        <v>6.5716693070081433E-3</v>
      </c>
    </row>
    <row r="170" spans="2:7" x14ac:dyDescent="0.3">
      <c r="B170" s="123">
        <v>46210</v>
      </c>
      <c r="C170" s="126">
        <v>535.6</v>
      </c>
      <c r="D170" s="50">
        <f t="shared" si="4"/>
        <v>-1.0258323230438737E-3</v>
      </c>
      <c r="F170" s="126">
        <v>24398.7</v>
      </c>
      <c r="G170" s="50">
        <f t="shared" si="5"/>
        <v>-1.2955197121612416E-3</v>
      </c>
    </row>
    <row r="171" spans="2:7" x14ac:dyDescent="0.3">
      <c r="B171" s="123">
        <v>46241</v>
      </c>
      <c r="C171" s="126">
        <v>536.54999999999995</v>
      </c>
      <c r="D171" s="50">
        <f t="shared" si="4"/>
        <v>1.7737117251679368E-3</v>
      </c>
      <c r="F171" s="126">
        <v>23882.05</v>
      </c>
      <c r="G171" s="50">
        <f t="shared" si="5"/>
        <v>-2.1175308520535951E-2</v>
      </c>
    </row>
    <row r="172" spans="2:7" x14ac:dyDescent="0.3">
      <c r="B172" s="123">
        <v>46272</v>
      </c>
      <c r="C172" s="126">
        <v>545.95000000000005</v>
      </c>
      <c r="D172" s="50">
        <f t="shared" si="4"/>
        <v>1.7519336501724103E-2</v>
      </c>
      <c r="F172" s="126">
        <v>23962.799999999999</v>
      </c>
      <c r="G172" s="50">
        <f t="shared" si="5"/>
        <v>3.3812005250806187E-3</v>
      </c>
    </row>
    <row r="173" spans="2:7" x14ac:dyDescent="0.3">
      <c r="B173" s="123">
        <v>46302</v>
      </c>
      <c r="C173" s="126">
        <v>543.65</v>
      </c>
      <c r="D173" s="50">
        <f t="shared" si="4"/>
        <v>-4.2128400036635094E-3</v>
      </c>
      <c r="F173" s="126">
        <v>24206.9</v>
      </c>
      <c r="G173" s="50">
        <f t="shared" si="5"/>
        <v>1.0186622598360895E-2</v>
      </c>
    </row>
    <row r="174" spans="2:7" x14ac:dyDescent="0.3">
      <c r="B174" s="123" t="s">
        <v>182</v>
      </c>
      <c r="C174" s="126">
        <v>539.15</v>
      </c>
      <c r="D174" s="50">
        <f t="shared" si="4"/>
        <v>-8.2773843465464569E-3</v>
      </c>
      <c r="F174" s="126">
        <v>24211</v>
      </c>
      <c r="G174" s="50">
        <f t="shared" si="5"/>
        <v>1.6937319524590322E-4</v>
      </c>
    </row>
    <row r="175" spans="2:7" x14ac:dyDescent="0.3">
      <c r="B175" s="123" t="s">
        <v>183</v>
      </c>
      <c r="C175" s="126">
        <v>537.9</v>
      </c>
      <c r="D175" s="50">
        <f t="shared" si="4"/>
        <v>-2.3184642492812824E-3</v>
      </c>
      <c r="F175" s="126">
        <v>24052.05</v>
      </c>
      <c r="G175" s="50">
        <f t="shared" si="5"/>
        <v>-6.5651976374375698E-3</v>
      </c>
    </row>
    <row r="176" spans="2:7" x14ac:dyDescent="0.3">
      <c r="B176" s="123" t="s">
        <v>184</v>
      </c>
      <c r="C176" s="126">
        <v>544.35</v>
      </c>
      <c r="D176" s="50">
        <f t="shared" si="4"/>
        <v>1.1991076408254475E-2</v>
      </c>
      <c r="F176" s="126">
        <v>24078.5</v>
      </c>
      <c r="G176" s="50">
        <f t="shared" si="5"/>
        <v>1.0996983625095602E-3</v>
      </c>
    </row>
    <row r="177" spans="2:7" x14ac:dyDescent="0.3">
      <c r="B177" s="123" t="s">
        <v>185</v>
      </c>
      <c r="C177" s="126">
        <v>533.65</v>
      </c>
      <c r="D177" s="50">
        <f t="shared" si="4"/>
        <v>-1.9656471020483179E-2</v>
      </c>
      <c r="F177" s="126">
        <v>24072.75</v>
      </c>
      <c r="G177" s="50">
        <f t="shared" si="5"/>
        <v>-2.3880225097083763E-4</v>
      </c>
    </row>
    <row r="178" spans="2:7" x14ac:dyDescent="0.3">
      <c r="B178" s="123" t="s">
        <v>186</v>
      </c>
      <c r="C178" s="126">
        <v>537.20000000000005</v>
      </c>
      <c r="D178" s="50">
        <f t="shared" si="4"/>
        <v>6.6523001967582207E-3</v>
      </c>
      <c r="F178" s="126">
        <v>24334.3</v>
      </c>
      <c r="G178" s="50">
        <f t="shared" si="5"/>
        <v>1.0864982189404904E-2</v>
      </c>
    </row>
    <row r="179" spans="2:7" x14ac:dyDescent="0.3">
      <c r="B179" s="123" t="s">
        <v>187</v>
      </c>
      <c r="C179" s="126">
        <v>541.70000000000005</v>
      </c>
      <c r="D179" s="50">
        <f t="shared" si="4"/>
        <v>8.3767684288904576E-3</v>
      </c>
      <c r="F179" s="126">
        <v>24238.5</v>
      </c>
      <c r="G179" s="50">
        <f t="shared" si="5"/>
        <v>-3.9368299067571444E-3</v>
      </c>
    </row>
    <row r="180" spans="2:7" x14ac:dyDescent="0.3">
      <c r="B180" s="123" t="s">
        <v>188</v>
      </c>
      <c r="C180" s="126">
        <v>549.04999999999995</v>
      </c>
      <c r="D180" s="50">
        <f t="shared" si="4"/>
        <v>1.3568395791027976E-2</v>
      </c>
      <c r="F180" s="126">
        <v>24187.7</v>
      </c>
      <c r="G180" s="50">
        <f t="shared" si="5"/>
        <v>-2.0958392639808254E-3</v>
      </c>
    </row>
    <row r="181" spans="2:7" x14ac:dyDescent="0.3">
      <c r="B181" s="123" t="s">
        <v>189</v>
      </c>
      <c r="C181" s="126">
        <v>559.35</v>
      </c>
      <c r="D181" s="50">
        <f t="shared" si="4"/>
        <v>1.8759675803661002E-2</v>
      </c>
      <c r="F181" s="126">
        <v>23996.25</v>
      </c>
      <c r="G181" s="50">
        <f t="shared" si="5"/>
        <v>-7.9151800295191865E-3</v>
      </c>
    </row>
    <row r="182" spans="2:7" x14ac:dyDescent="0.3">
      <c r="B182" s="123" t="s">
        <v>190</v>
      </c>
      <c r="C182" s="126">
        <v>557.4</v>
      </c>
      <c r="D182" s="50">
        <f t="shared" si="4"/>
        <v>-3.4861893268973709E-3</v>
      </c>
      <c r="F182" s="126">
        <v>23869.599999999999</v>
      </c>
      <c r="G182" s="50">
        <f t="shared" si="5"/>
        <v>-5.2779080064594419E-3</v>
      </c>
    </row>
    <row r="183" spans="2:7" x14ac:dyDescent="0.3">
      <c r="B183" s="123" t="s">
        <v>191</v>
      </c>
      <c r="C183" s="126">
        <v>555.9</v>
      </c>
      <c r="D183" s="50">
        <f t="shared" si="4"/>
        <v>-2.6910656620021678E-3</v>
      </c>
      <c r="F183" s="126">
        <v>23767.45</v>
      </c>
      <c r="G183" s="50">
        <f t="shared" si="5"/>
        <v>-4.2795019606527429E-3</v>
      </c>
    </row>
  </sheetData>
  <mergeCells count="3">
    <mergeCell ref="B6:D6"/>
    <mergeCell ref="F6:G6"/>
    <mergeCell ref="I6:J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BC54-F807-47D4-B498-C51C1EECEC69}">
  <dimension ref="B2:M113"/>
  <sheetViews>
    <sheetView showGridLines="0" zoomScaleNormal="100" workbookViewId="0">
      <selection activeCell="B2" sqref="B2"/>
    </sheetView>
  </sheetViews>
  <sheetFormatPr defaultRowHeight="14.4" x14ac:dyDescent="0.3"/>
  <cols>
    <col min="1" max="1" width="1.88671875" customWidth="1"/>
    <col min="2" max="2" width="13.44140625" customWidth="1"/>
    <col min="3" max="3" width="11.6640625" customWidth="1"/>
    <col min="4" max="4" width="7.6640625" bestFit="1" customWidth="1"/>
    <col min="6" max="6" width="12.33203125" customWidth="1"/>
    <col min="7" max="7" width="6.6640625" bestFit="1" customWidth="1"/>
    <col min="9" max="9" width="17.5546875" bestFit="1" customWidth="1"/>
    <col min="10" max="10" width="7" bestFit="1" customWidth="1"/>
    <col min="12" max="12" width="4.77734375" bestFit="1" customWidth="1"/>
    <col min="13" max="13" width="4.5546875" bestFit="1" customWidth="1"/>
  </cols>
  <sheetData>
    <row r="2" spans="2:13" x14ac:dyDescent="0.3">
      <c r="B2" s="259" t="s">
        <v>497</v>
      </c>
    </row>
    <row r="3" spans="2:13" ht="3.6" customHeight="1" x14ac:dyDescent="0.3"/>
    <row r="4" spans="2:13" x14ac:dyDescent="0.3">
      <c r="B4" s="30" t="s">
        <v>41</v>
      </c>
      <c r="C4" s="29"/>
      <c r="D4" s="29"/>
      <c r="E4" s="29"/>
      <c r="F4" s="29"/>
      <c r="G4" s="29"/>
      <c r="H4" s="29"/>
      <c r="I4" s="29"/>
      <c r="J4" s="29"/>
    </row>
    <row r="5" spans="2:13" ht="3.6" customHeight="1" x14ac:dyDescent="0.3">
      <c r="B5" s="29"/>
      <c r="C5" s="29"/>
      <c r="D5" s="29"/>
      <c r="E5" s="29"/>
      <c r="F5" s="29"/>
      <c r="G5" s="29"/>
      <c r="H5" s="29"/>
      <c r="I5" s="29"/>
      <c r="J5" s="29"/>
    </row>
    <row r="6" spans="2:13" x14ac:dyDescent="0.3">
      <c r="B6" s="435" t="s">
        <v>479</v>
      </c>
      <c r="C6" s="435"/>
      <c r="D6" s="435"/>
      <c r="E6" s="37"/>
      <c r="F6" s="436" t="s">
        <v>42</v>
      </c>
      <c r="G6" s="436"/>
      <c r="H6" s="29"/>
      <c r="I6" s="436" t="s">
        <v>43</v>
      </c>
      <c r="J6" s="436"/>
      <c r="M6" s="9"/>
    </row>
    <row r="7" spans="2:13" ht="3.6" customHeight="1" x14ac:dyDescent="0.3">
      <c r="B7" s="29"/>
      <c r="C7" s="29"/>
      <c r="D7" s="29"/>
      <c r="E7" s="29"/>
      <c r="F7" s="29"/>
      <c r="G7" s="29"/>
      <c r="H7" s="29"/>
      <c r="I7" s="29"/>
      <c r="J7" s="29"/>
    </row>
    <row r="8" spans="2:13" ht="13.8" customHeight="1" thickBot="1" x14ac:dyDescent="0.35">
      <c r="B8" s="47" t="s">
        <v>44</v>
      </c>
      <c r="C8" s="32" t="s">
        <v>45</v>
      </c>
      <c r="D8" s="32" t="s">
        <v>46</v>
      </c>
      <c r="E8" s="29"/>
      <c r="F8" s="32" t="s">
        <v>45</v>
      </c>
      <c r="G8" s="32" t="s">
        <v>46</v>
      </c>
      <c r="H8" s="29"/>
      <c r="I8" s="29" t="s">
        <v>47</v>
      </c>
      <c r="J8" s="38">
        <f>SLOPE(D10:D112,G10:G112)</f>
        <v>0.69029840332659353</v>
      </c>
    </row>
    <row r="9" spans="2:13" x14ac:dyDescent="0.3">
      <c r="B9" s="123" t="s">
        <v>77</v>
      </c>
      <c r="C9" s="125">
        <v>1507.7</v>
      </c>
      <c r="D9" s="15"/>
      <c r="F9" s="124">
        <v>24717.7</v>
      </c>
      <c r="I9" t="s">
        <v>48</v>
      </c>
      <c r="J9" s="121">
        <v>0.75</v>
      </c>
    </row>
    <row r="10" spans="2:13" x14ac:dyDescent="0.3">
      <c r="B10" s="123">
        <v>45390</v>
      </c>
      <c r="C10" s="125">
        <v>1506.7</v>
      </c>
      <c r="D10" s="50">
        <f>C10/C9-1</f>
        <v>-6.6326192213306268E-4</v>
      </c>
      <c r="F10" s="124">
        <v>24367.5</v>
      </c>
      <c r="G10" s="50">
        <f>F10/F9-1</f>
        <v>-1.4167984885325113E-2</v>
      </c>
    </row>
    <row r="11" spans="2:13" x14ac:dyDescent="0.3">
      <c r="B11" s="123">
        <v>45604</v>
      </c>
      <c r="C11" s="125">
        <v>1585.3</v>
      </c>
      <c r="D11" s="50">
        <f t="shared" ref="D11:D74" si="0">C11/C10-1</f>
        <v>5.2166987456029768E-2</v>
      </c>
      <c r="F11" s="124">
        <v>24541.15</v>
      </c>
      <c r="G11" s="50">
        <f t="shared" ref="G11:G74" si="1">F11/F10-1</f>
        <v>7.1262952703396998E-3</v>
      </c>
      <c r="I11" t="s">
        <v>49</v>
      </c>
      <c r="J11" s="7">
        <v>1</v>
      </c>
    </row>
    <row r="12" spans="2:13" x14ac:dyDescent="0.3">
      <c r="B12" s="123" t="s">
        <v>78</v>
      </c>
      <c r="C12" s="125">
        <v>1598.4</v>
      </c>
      <c r="D12" s="50">
        <f t="shared" si="0"/>
        <v>8.2634201728379875E-3</v>
      </c>
      <c r="F12" s="124">
        <v>24823.15</v>
      </c>
      <c r="G12" s="50">
        <f t="shared" si="1"/>
        <v>1.1490904052988471E-2</v>
      </c>
      <c r="I12" t="s">
        <v>51</v>
      </c>
      <c r="J12" s="11">
        <f>100%-J9</f>
        <v>0.25</v>
      </c>
    </row>
    <row r="13" spans="2:13" x14ac:dyDescent="0.3">
      <c r="B13" s="123" t="s">
        <v>79</v>
      </c>
      <c r="C13" s="125">
        <v>1636.5</v>
      </c>
      <c r="D13" s="50">
        <f t="shared" si="0"/>
        <v>2.3836336336336306E-2</v>
      </c>
      <c r="F13" s="124">
        <v>25235.9</v>
      </c>
      <c r="G13" s="50">
        <f t="shared" si="1"/>
        <v>1.6627623810837822E-2</v>
      </c>
    </row>
    <row r="14" spans="2:13" x14ac:dyDescent="0.3">
      <c r="B14" s="123">
        <v>45300</v>
      </c>
      <c r="C14" s="125">
        <v>1623.25</v>
      </c>
      <c r="D14" s="50">
        <f t="shared" si="0"/>
        <v>-8.0965475099297191E-3</v>
      </c>
      <c r="F14" s="124">
        <v>24852.15</v>
      </c>
      <c r="G14" s="50">
        <f t="shared" si="1"/>
        <v>-1.5206511358818231E-2</v>
      </c>
      <c r="I14" s="48" t="s">
        <v>53</v>
      </c>
      <c r="J14" s="49">
        <f>(J8*J9)+(J11*J12)</f>
        <v>0.7677238024949451</v>
      </c>
    </row>
    <row r="15" spans="2:13" x14ac:dyDescent="0.3">
      <c r="B15" s="123">
        <v>45513</v>
      </c>
      <c r="C15" s="125">
        <v>1656.05</v>
      </c>
      <c r="D15" s="50">
        <f t="shared" si="0"/>
        <v>2.0206376097335665E-2</v>
      </c>
      <c r="F15" s="124">
        <v>25356.5</v>
      </c>
      <c r="G15" s="50">
        <f t="shared" si="1"/>
        <v>2.0294018827344829E-2</v>
      </c>
    </row>
    <row r="16" spans="2:13" x14ac:dyDescent="0.3">
      <c r="B16" s="123" t="s">
        <v>80</v>
      </c>
      <c r="C16" s="125">
        <v>1622.05</v>
      </c>
      <c r="D16" s="50">
        <f t="shared" si="0"/>
        <v>-2.0530781075450588E-2</v>
      </c>
      <c r="F16" s="124">
        <v>25790.95</v>
      </c>
      <c r="G16" s="50">
        <f t="shared" si="1"/>
        <v>1.7133673811448702E-2</v>
      </c>
    </row>
    <row r="17" spans="2:7" x14ac:dyDescent="0.3">
      <c r="B17" s="123" t="s">
        <v>81</v>
      </c>
      <c r="C17" s="125">
        <v>1609.25</v>
      </c>
      <c r="D17" s="50">
        <f t="shared" si="0"/>
        <v>-7.8912487284609201E-3</v>
      </c>
      <c r="F17" s="124">
        <v>26178.95</v>
      </c>
      <c r="G17" s="50">
        <f t="shared" si="1"/>
        <v>1.5044036764834123E-2</v>
      </c>
    </row>
    <row r="18" spans="2:7" x14ac:dyDescent="0.3">
      <c r="B18" s="123" t="s">
        <v>82</v>
      </c>
      <c r="C18" s="125">
        <v>1616.45</v>
      </c>
      <c r="D18" s="50">
        <f t="shared" si="0"/>
        <v>4.4741339133136382E-3</v>
      </c>
      <c r="F18" s="124">
        <v>25014.6</v>
      </c>
      <c r="G18" s="50">
        <f t="shared" si="1"/>
        <v>-4.4476573735768743E-2</v>
      </c>
    </row>
    <row r="19" spans="2:7" x14ac:dyDescent="0.3">
      <c r="B19" s="123">
        <v>45453</v>
      </c>
      <c r="C19" s="125">
        <v>1647.05</v>
      </c>
      <c r="D19" s="50">
        <f t="shared" si="0"/>
        <v>1.8930372111726212E-2</v>
      </c>
      <c r="F19" s="124">
        <v>24964.25</v>
      </c>
      <c r="G19" s="50">
        <f t="shared" si="1"/>
        <v>-2.0128245104857889E-3</v>
      </c>
    </row>
    <row r="20" spans="2:7" x14ac:dyDescent="0.3">
      <c r="B20" s="123" t="s">
        <v>83</v>
      </c>
      <c r="C20" s="125">
        <v>1687.9</v>
      </c>
      <c r="D20" s="50">
        <f t="shared" si="0"/>
        <v>2.4801918581706772E-2</v>
      </c>
      <c r="F20" s="124">
        <v>24854.05</v>
      </c>
      <c r="G20" s="50">
        <f t="shared" si="1"/>
        <v>-4.4143124668275524E-3</v>
      </c>
    </row>
    <row r="21" spans="2:7" x14ac:dyDescent="0.3">
      <c r="B21" s="123" t="s">
        <v>84</v>
      </c>
      <c r="C21" s="125">
        <v>1716.45</v>
      </c>
      <c r="D21" s="50">
        <f t="shared" si="0"/>
        <v>1.6914509153385771E-2</v>
      </c>
      <c r="F21" s="124">
        <v>24180.799999999999</v>
      </c>
      <c r="G21" s="50">
        <f t="shared" si="1"/>
        <v>-2.7088140564616281E-2</v>
      </c>
    </row>
    <row r="22" spans="2:7" x14ac:dyDescent="0.3">
      <c r="B22" s="123" t="s">
        <v>85</v>
      </c>
      <c r="C22" s="125">
        <v>1603.65</v>
      </c>
      <c r="D22" s="50">
        <f t="shared" si="0"/>
        <v>-6.5717032246788376E-2</v>
      </c>
      <c r="F22" s="124">
        <v>24304.35</v>
      </c>
      <c r="G22" s="50">
        <f t="shared" si="1"/>
        <v>5.1094256600276999E-3</v>
      </c>
    </row>
    <row r="23" spans="2:7" x14ac:dyDescent="0.3">
      <c r="B23" s="123">
        <v>45362</v>
      </c>
      <c r="C23" s="125">
        <v>1681.35</v>
      </c>
      <c r="D23" s="50">
        <f t="shared" si="0"/>
        <v>4.845196894584225E-2</v>
      </c>
      <c r="F23" s="124">
        <v>24148.2</v>
      </c>
      <c r="G23" s="50">
        <f t="shared" si="1"/>
        <v>-6.4247758117372822E-3</v>
      </c>
    </row>
    <row r="24" spans="2:7" x14ac:dyDescent="0.3">
      <c r="B24" s="123">
        <v>45576</v>
      </c>
      <c r="C24" s="125">
        <v>1687.5</v>
      </c>
      <c r="D24" s="50">
        <f t="shared" si="0"/>
        <v>3.6577750022304123E-3</v>
      </c>
      <c r="F24" s="124">
        <v>23532.7</v>
      </c>
      <c r="G24" s="50">
        <f t="shared" si="1"/>
        <v>-2.5488442202731498E-2</v>
      </c>
    </row>
    <row r="25" spans="2:7" x14ac:dyDescent="0.3">
      <c r="B25" s="123" t="s">
        <v>86</v>
      </c>
      <c r="C25" s="125">
        <v>1747.45</v>
      </c>
      <c r="D25" s="50">
        <f t="shared" si="0"/>
        <v>3.5525925925925961E-2</v>
      </c>
      <c r="F25" s="124">
        <v>23907.25</v>
      </c>
      <c r="G25" s="50">
        <f t="shared" si="1"/>
        <v>1.5916150717937061E-2</v>
      </c>
    </row>
    <row r="26" spans="2:7" x14ac:dyDescent="0.3">
      <c r="B26" s="123" t="s">
        <v>87</v>
      </c>
      <c r="C26" s="125">
        <v>1712.3</v>
      </c>
      <c r="D26" s="50">
        <f t="shared" si="0"/>
        <v>-2.0115024750350541E-2</v>
      </c>
      <c r="F26" s="124">
        <v>24131.1</v>
      </c>
      <c r="G26" s="50">
        <f t="shared" si="1"/>
        <v>9.3632684645870157E-3</v>
      </c>
    </row>
    <row r="27" spans="2:7" x14ac:dyDescent="0.3">
      <c r="B27" s="123">
        <v>45303</v>
      </c>
      <c r="C27" s="125">
        <v>1782.8</v>
      </c>
      <c r="D27" s="50">
        <f t="shared" si="0"/>
        <v>4.117269170122051E-2</v>
      </c>
      <c r="F27" s="124">
        <v>24677.8</v>
      </c>
      <c r="G27" s="50">
        <f t="shared" si="1"/>
        <v>2.2655411481449228E-2</v>
      </c>
    </row>
    <row r="28" spans="2:7" x14ac:dyDescent="0.3">
      <c r="B28" s="123">
        <v>45516</v>
      </c>
      <c r="C28" s="125">
        <v>1796.4</v>
      </c>
      <c r="D28" s="50">
        <f t="shared" si="0"/>
        <v>7.6284496297958082E-3</v>
      </c>
      <c r="F28" s="124">
        <v>24768.3</v>
      </c>
      <c r="G28" s="50">
        <f t="shared" si="1"/>
        <v>3.6672636944945491E-3</v>
      </c>
    </row>
    <row r="29" spans="2:7" x14ac:dyDescent="0.3">
      <c r="B29" s="123" t="s">
        <v>88</v>
      </c>
      <c r="C29" s="125">
        <v>1686.05</v>
      </c>
      <c r="D29" s="50">
        <f t="shared" si="0"/>
        <v>-6.1428412380316266E-2</v>
      </c>
      <c r="F29" s="124">
        <v>23587.5</v>
      </c>
      <c r="G29" s="50">
        <f t="shared" si="1"/>
        <v>-4.7673841159869612E-2</v>
      </c>
    </row>
    <row r="30" spans="2:7" x14ac:dyDescent="0.3">
      <c r="B30" s="123" t="s">
        <v>89</v>
      </c>
      <c r="C30" s="125">
        <v>1711.65</v>
      </c>
      <c r="D30" s="50">
        <f t="shared" si="0"/>
        <v>1.5183416861896282E-2</v>
      </c>
      <c r="F30" s="124">
        <v>23813.4</v>
      </c>
      <c r="G30" s="50">
        <f t="shared" si="1"/>
        <v>9.5771065182830295E-3</v>
      </c>
    </row>
    <row r="31" spans="2:7" x14ac:dyDescent="0.3">
      <c r="B31" s="123" t="s">
        <v>90</v>
      </c>
      <c r="C31" s="125">
        <v>1689.45</v>
      </c>
      <c r="D31" s="50">
        <f t="shared" si="0"/>
        <v>-1.2969941284725284E-2</v>
      </c>
      <c r="F31" s="124">
        <v>24004.75</v>
      </c>
      <c r="G31" s="50">
        <f t="shared" si="1"/>
        <v>8.035391838208783E-3</v>
      </c>
    </row>
    <row r="32" spans="2:7" x14ac:dyDescent="0.3">
      <c r="B32" s="123">
        <v>45778</v>
      </c>
      <c r="C32" s="125">
        <v>1705.6</v>
      </c>
      <c r="D32" s="50">
        <f t="shared" si="0"/>
        <v>9.5593240403681889E-3</v>
      </c>
      <c r="F32" s="124">
        <v>23431.5</v>
      </c>
      <c r="G32" s="50">
        <f t="shared" si="1"/>
        <v>-2.3880690280048689E-2</v>
      </c>
    </row>
    <row r="33" spans="2:7" x14ac:dyDescent="0.3">
      <c r="B33" s="123">
        <v>45992</v>
      </c>
      <c r="C33" s="125">
        <v>1660.3</v>
      </c>
      <c r="D33" s="50">
        <f t="shared" si="0"/>
        <v>-2.6559568480300166E-2</v>
      </c>
      <c r="F33" s="124">
        <v>23203.200000000001</v>
      </c>
      <c r="G33" s="50">
        <f t="shared" si="1"/>
        <v>-9.7432942833365344E-3</v>
      </c>
    </row>
    <row r="34" spans="2:7" x14ac:dyDescent="0.3">
      <c r="B34" s="123" t="s">
        <v>91</v>
      </c>
      <c r="C34" s="125">
        <v>1723.05</v>
      </c>
      <c r="D34" s="50">
        <f t="shared" si="0"/>
        <v>3.7794374510630613E-2</v>
      </c>
      <c r="F34" s="124">
        <v>23092.2</v>
      </c>
      <c r="G34" s="50">
        <f t="shared" si="1"/>
        <v>-4.7838229209764549E-3</v>
      </c>
    </row>
    <row r="35" spans="2:7" x14ac:dyDescent="0.3">
      <c r="B35" s="123" t="s">
        <v>92</v>
      </c>
      <c r="C35" s="125">
        <v>1674.45</v>
      </c>
      <c r="D35" s="50">
        <f t="shared" si="0"/>
        <v>-2.8205797858448678E-2</v>
      </c>
      <c r="F35" s="124">
        <v>23508.400000000001</v>
      </c>
      <c r="G35" s="50">
        <f t="shared" si="1"/>
        <v>1.8023401841314346E-2</v>
      </c>
    </row>
    <row r="36" spans="2:7" x14ac:dyDescent="0.3">
      <c r="B36" s="123">
        <v>45690</v>
      </c>
      <c r="C36" s="125">
        <v>1692.1</v>
      </c>
      <c r="D36" s="50">
        <f t="shared" si="0"/>
        <v>1.0540774582698642E-2</v>
      </c>
      <c r="F36" s="124">
        <v>23559.95</v>
      </c>
      <c r="G36" s="50">
        <f t="shared" si="1"/>
        <v>2.1928332000475947E-3</v>
      </c>
    </row>
    <row r="37" spans="2:7" x14ac:dyDescent="0.3">
      <c r="B37" s="123">
        <v>45902</v>
      </c>
      <c r="C37" s="125">
        <v>1659.1</v>
      </c>
      <c r="D37" s="50">
        <f t="shared" si="0"/>
        <v>-1.9502393475562929E-2</v>
      </c>
      <c r="F37" s="124">
        <v>22929.25</v>
      </c>
      <c r="G37" s="50">
        <f t="shared" si="1"/>
        <v>-2.6770005878620329E-2</v>
      </c>
    </row>
    <row r="38" spans="2:7" x14ac:dyDescent="0.3">
      <c r="B38" s="123" t="s">
        <v>93</v>
      </c>
      <c r="C38" s="125">
        <v>1649.5</v>
      </c>
      <c r="D38" s="50">
        <f t="shared" si="0"/>
        <v>-5.7862696642757561E-3</v>
      </c>
      <c r="F38" s="124">
        <v>22795.9</v>
      </c>
      <c r="G38" s="50">
        <f t="shared" si="1"/>
        <v>-5.8157157342695331E-3</v>
      </c>
    </row>
    <row r="39" spans="2:7" x14ac:dyDescent="0.3">
      <c r="B39" s="123" t="s">
        <v>94</v>
      </c>
      <c r="C39" s="125">
        <v>1487.85</v>
      </c>
      <c r="D39" s="50">
        <f t="shared" si="0"/>
        <v>-9.7999393755683561E-2</v>
      </c>
      <c r="F39" s="124">
        <v>22124.7</v>
      </c>
      <c r="G39" s="50">
        <f t="shared" si="1"/>
        <v>-2.9443891226053842E-2</v>
      </c>
    </row>
    <row r="40" spans="2:7" x14ac:dyDescent="0.3">
      <c r="B40" s="123">
        <v>45691</v>
      </c>
      <c r="C40" s="125">
        <v>1492.35</v>
      </c>
      <c r="D40" s="50">
        <f t="shared" si="0"/>
        <v>3.0244984373424266E-3</v>
      </c>
      <c r="F40" s="124">
        <v>22552.5</v>
      </c>
      <c r="G40" s="50">
        <f t="shared" si="1"/>
        <v>1.9335855401429125E-2</v>
      </c>
    </row>
    <row r="41" spans="2:7" x14ac:dyDescent="0.3">
      <c r="B41" s="123">
        <v>45903</v>
      </c>
      <c r="C41" s="125">
        <v>1440.65</v>
      </c>
      <c r="D41" s="50">
        <f t="shared" si="0"/>
        <v>-3.4643347740141217E-2</v>
      </c>
      <c r="F41" s="124">
        <v>22397.200000000001</v>
      </c>
      <c r="G41" s="50">
        <f t="shared" si="1"/>
        <v>-6.8861545283227521E-3</v>
      </c>
    </row>
    <row r="42" spans="2:7" x14ac:dyDescent="0.3">
      <c r="B42" s="123" t="s">
        <v>95</v>
      </c>
      <c r="C42" s="125">
        <v>1409.25</v>
      </c>
      <c r="D42" s="50">
        <f t="shared" si="0"/>
        <v>-2.1795717210981169E-2</v>
      </c>
      <c r="F42" s="124">
        <v>23350.400000000001</v>
      </c>
      <c r="G42" s="50">
        <f t="shared" si="1"/>
        <v>4.2558891289982803E-2</v>
      </c>
    </row>
    <row r="43" spans="2:7" x14ac:dyDescent="0.3">
      <c r="B43" s="123" t="s">
        <v>96</v>
      </c>
      <c r="C43" s="125">
        <v>1418.25</v>
      </c>
      <c r="D43" s="50">
        <f t="shared" si="0"/>
        <v>6.3863757317721426E-3</v>
      </c>
      <c r="F43" s="124">
        <v>23519.35</v>
      </c>
      <c r="G43" s="50">
        <f t="shared" si="1"/>
        <v>7.2354220912702605E-3</v>
      </c>
    </row>
    <row r="44" spans="2:7" x14ac:dyDescent="0.3">
      <c r="B44" s="123" t="s">
        <v>97</v>
      </c>
      <c r="C44" s="125">
        <v>1320.95</v>
      </c>
      <c r="D44" s="50">
        <f t="shared" si="0"/>
        <v>-6.8605676009166228E-2</v>
      </c>
      <c r="F44" s="124">
        <v>22904.45</v>
      </c>
      <c r="G44" s="50">
        <f t="shared" si="1"/>
        <v>-2.6144430011883713E-2</v>
      </c>
    </row>
    <row r="45" spans="2:7" x14ac:dyDescent="0.3">
      <c r="B45" s="123">
        <v>45812</v>
      </c>
      <c r="C45" s="125">
        <v>1282.25</v>
      </c>
      <c r="D45" s="50">
        <f t="shared" si="0"/>
        <v>-2.9297096786403798E-2</v>
      </c>
      <c r="F45" s="124">
        <v>22828.55</v>
      </c>
      <c r="G45" s="50">
        <f t="shared" si="1"/>
        <v>-3.3137665388167648E-3</v>
      </c>
    </row>
    <row r="46" spans="2:7" x14ac:dyDescent="0.3">
      <c r="B46" s="123" t="s">
        <v>98</v>
      </c>
      <c r="C46" s="125">
        <v>1306.8</v>
      </c>
      <c r="D46" s="50">
        <f t="shared" si="0"/>
        <v>1.9146032364983467E-2</v>
      </c>
      <c r="F46" s="124">
        <v>23851.65</v>
      </c>
      <c r="G46" s="50">
        <f t="shared" si="1"/>
        <v>4.4816687875489425E-2</v>
      </c>
    </row>
    <row r="47" spans="2:7" x14ac:dyDescent="0.3">
      <c r="B47" s="123" t="s">
        <v>99</v>
      </c>
      <c r="C47" s="125">
        <v>1462</v>
      </c>
      <c r="D47" s="50">
        <f t="shared" si="0"/>
        <v>0.11876339149066428</v>
      </c>
      <c r="F47" s="124">
        <v>24039.35</v>
      </c>
      <c r="G47" s="50">
        <f t="shared" si="1"/>
        <v>7.86947653516612E-3</v>
      </c>
    </row>
    <row r="48" spans="2:7" x14ac:dyDescent="0.3">
      <c r="B48" s="123" t="s">
        <v>100</v>
      </c>
      <c r="C48" s="125">
        <v>1496.3</v>
      </c>
      <c r="D48" s="50">
        <f t="shared" si="0"/>
        <v>2.3461012311901452E-2</v>
      </c>
      <c r="F48" s="124">
        <v>24346.7</v>
      </c>
      <c r="G48" s="50">
        <f t="shared" si="1"/>
        <v>1.2785287455775673E-2</v>
      </c>
    </row>
    <row r="49" spans="2:7" x14ac:dyDescent="0.3">
      <c r="B49" s="123">
        <v>45752</v>
      </c>
      <c r="C49" s="125">
        <v>1493.7</v>
      </c>
      <c r="D49" s="50">
        <f t="shared" si="0"/>
        <v>-1.7376194613378804E-3</v>
      </c>
      <c r="F49" s="124">
        <v>24008</v>
      </c>
      <c r="G49" s="50">
        <f t="shared" si="1"/>
        <v>-1.391153626569519E-2</v>
      </c>
    </row>
    <row r="50" spans="2:7" x14ac:dyDescent="0.3">
      <c r="B50" s="123">
        <v>45966</v>
      </c>
      <c r="C50" s="125">
        <v>1617</v>
      </c>
      <c r="D50" s="50">
        <f t="shared" si="0"/>
        <v>8.2546696123719565E-2</v>
      </c>
      <c r="F50" s="124">
        <v>25019.8</v>
      </c>
      <c r="G50" s="50">
        <f t="shared" si="1"/>
        <v>4.2144285238253865E-2</v>
      </c>
    </row>
    <row r="51" spans="2:7" x14ac:dyDescent="0.3">
      <c r="B51" s="123" t="s">
        <v>101</v>
      </c>
      <c r="C51" s="125">
        <v>1580.3</v>
      </c>
      <c r="D51" s="50">
        <f t="shared" si="0"/>
        <v>-2.2696351267779913E-2</v>
      </c>
      <c r="F51" s="124">
        <v>24853.15</v>
      </c>
      <c r="G51" s="50">
        <f t="shared" si="1"/>
        <v>-6.660724706032739E-3</v>
      </c>
    </row>
    <row r="52" spans="2:7" x14ac:dyDescent="0.3">
      <c r="B52" s="123" t="s">
        <v>102</v>
      </c>
      <c r="C52" s="125">
        <v>1573.9</v>
      </c>
      <c r="D52" s="50">
        <f t="shared" si="0"/>
        <v>-4.0498639498828259E-3</v>
      </c>
      <c r="F52" s="124">
        <v>24750.7</v>
      </c>
      <c r="G52" s="50">
        <f t="shared" si="1"/>
        <v>-4.1222138843567402E-3</v>
      </c>
    </row>
    <row r="53" spans="2:7" x14ac:dyDescent="0.3">
      <c r="B53" s="123">
        <v>45663</v>
      </c>
      <c r="C53" s="125">
        <v>1571.1</v>
      </c>
      <c r="D53" s="50">
        <f t="shared" si="0"/>
        <v>-1.779020268123932E-3</v>
      </c>
      <c r="F53" s="124">
        <v>25003.05</v>
      </c>
      <c r="G53" s="50">
        <f t="shared" si="1"/>
        <v>1.0195671233540704E-2</v>
      </c>
    </row>
    <row r="54" spans="2:7" x14ac:dyDescent="0.3">
      <c r="B54" s="123">
        <v>45875</v>
      </c>
      <c r="C54" s="125">
        <v>1659</v>
      </c>
      <c r="D54" s="50">
        <f t="shared" si="0"/>
        <v>5.5948061867481469E-2</v>
      </c>
      <c r="F54" s="124">
        <v>24718.6</v>
      </c>
      <c r="G54" s="50">
        <f t="shared" si="1"/>
        <v>-1.1376612053329516E-2</v>
      </c>
    </row>
    <row r="55" spans="2:7" x14ac:dyDescent="0.3">
      <c r="B55" s="123" t="s">
        <v>103</v>
      </c>
      <c r="C55" s="125">
        <v>1696.1</v>
      </c>
      <c r="D55" s="50">
        <f t="shared" si="0"/>
        <v>2.2362869198312207E-2</v>
      </c>
      <c r="F55" s="124">
        <v>25112.400000000001</v>
      </c>
      <c r="G55" s="50">
        <f t="shared" si="1"/>
        <v>1.5931322971365791E-2</v>
      </c>
    </row>
    <row r="56" spans="2:7" x14ac:dyDescent="0.3">
      <c r="B56" s="123" t="s">
        <v>104</v>
      </c>
      <c r="C56" s="125">
        <v>1674.4</v>
      </c>
      <c r="D56" s="50">
        <f t="shared" si="0"/>
        <v>-1.2794056954188893E-2</v>
      </c>
      <c r="F56" s="124">
        <v>25637.8</v>
      </c>
      <c r="G56" s="50">
        <f t="shared" si="1"/>
        <v>2.092193498032846E-2</v>
      </c>
    </row>
    <row r="57" spans="2:7" x14ac:dyDescent="0.3">
      <c r="B57" s="123" t="s">
        <v>105</v>
      </c>
      <c r="C57" s="125">
        <v>1655.2</v>
      </c>
      <c r="D57" s="50">
        <f t="shared" si="0"/>
        <v>-1.1466794075489783E-2</v>
      </c>
      <c r="F57" s="124">
        <v>25461</v>
      </c>
      <c r="G57" s="50">
        <f t="shared" si="1"/>
        <v>-6.8960675252947023E-3</v>
      </c>
    </row>
    <row r="58" spans="2:7" x14ac:dyDescent="0.3">
      <c r="B58" s="123">
        <v>45815</v>
      </c>
      <c r="C58" s="125">
        <v>1602.5</v>
      </c>
      <c r="D58" s="50">
        <f t="shared" si="0"/>
        <v>-3.1839052682455349E-2</v>
      </c>
      <c r="F58" s="124">
        <v>25149.85</v>
      </c>
      <c r="G58" s="50">
        <f t="shared" si="1"/>
        <v>-1.2220651192019205E-2</v>
      </c>
    </row>
    <row r="59" spans="2:7" x14ac:dyDescent="0.3">
      <c r="B59" s="123" t="s">
        <v>106</v>
      </c>
      <c r="C59" s="125">
        <v>1548.9</v>
      </c>
      <c r="D59" s="50">
        <f t="shared" si="0"/>
        <v>-3.3447737909516273E-2</v>
      </c>
      <c r="F59" s="124">
        <v>24968.400000000001</v>
      </c>
      <c r="G59" s="50">
        <f t="shared" si="1"/>
        <v>-7.214754759968578E-3</v>
      </c>
    </row>
    <row r="60" spans="2:7" x14ac:dyDescent="0.3">
      <c r="B60" s="123" t="s">
        <v>107</v>
      </c>
      <c r="C60" s="125">
        <v>1461.9</v>
      </c>
      <c r="D60" s="50">
        <f t="shared" si="0"/>
        <v>-5.616889405384462E-2</v>
      </c>
      <c r="F60" s="124">
        <v>24837</v>
      </c>
      <c r="G60" s="50">
        <f t="shared" si="1"/>
        <v>-5.2626519921180615E-3</v>
      </c>
    </row>
    <row r="61" spans="2:7" x14ac:dyDescent="0.3">
      <c r="B61" s="123" t="s">
        <v>108</v>
      </c>
      <c r="C61" s="125">
        <v>1438.8</v>
      </c>
      <c r="D61" s="50">
        <f t="shared" si="0"/>
        <v>-1.5801354401805967E-2</v>
      </c>
      <c r="F61" s="124">
        <v>24565.35</v>
      </c>
      <c r="G61" s="50">
        <f t="shared" si="1"/>
        <v>-1.0937311269477057E-2</v>
      </c>
    </row>
    <row r="62" spans="2:7" x14ac:dyDescent="0.3">
      <c r="B62" s="123">
        <v>45724</v>
      </c>
      <c r="C62" s="125">
        <v>1480.4</v>
      </c>
      <c r="D62" s="50">
        <f t="shared" si="0"/>
        <v>2.8912983041423423E-2</v>
      </c>
      <c r="F62" s="124">
        <v>24363.3</v>
      </c>
      <c r="G62" s="50">
        <f t="shared" si="1"/>
        <v>-8.2249998473459263E-3</v>
      </c>
    </row>
    <row r="63" spans="2:7" x14ac:dyDescent="0.3">
      <c r="B63" s="123">
        <v>45938</v>
      </c>
      <c r="C63" s="125">
        <v>1486.7</v>
      </c>
      <c r="D63" s="50">
        <f t="shared" si="0"/>
        <v>4.2556065928127662E-3</v>
      </c>
      <c r="F63" s="124">
        <v>24631.3</v>
      </c>
      <c r="G63" s="50">
        <f t="shared" si="1"/>
        <v>1.100015186776826E-2</v>
      </c>
    </row>
    <row r="64" spans="2:7" x14ac:dyDescent="0.3">
      <c r="B64" s="123" t="s">
        <v>109</v>
      </c>
      <c r="C64" s="125">
        <v>1505</v>
      </c>
      <c r="D64" s="50">
        <f t="shared" si="0"/>
        <v>1.2309141050649064E-2</v>
      </c>
      <c r="F64" s="124">
        <v>24870.1</v>
      </c>
      <c r="G64" s="50">
        <f t="shared" si="1"/>
        <v>9.6949815884666002E-3</v>
      </c>
    </row>
    <row r="65" spans="2:7" x14ac:dyDescent="0.3">
      <c r="B65" s="123" t="s">
        <v>110</v>
      </c>
      <c r="C65" s="125">
        <v>1481.4</v>
      </c>
      <c r="D65" s="50">
        <f t="shared" si="0"/>
        <v>-1.56810631229235E-2</v>
      </c>
      <c r="F65" s="124">
        <v>24426.85</v>
      </c>
      <c r="G65" s="50">
        <f t="shared" si="1"/>
        <v>-1.7822606262138052E-2</v>
      </c>
    </row>
    <row r="66" spans="2:7" x14ac:dyDescent="0.3">
      <c r="B66" s="123" t="s">
        <v>111</v>
      </c>
      <c r="C66" s="125">
        <v>1477.9</v>
      </c>
      <c r="D66" s="50">
        <f t="shared" si="0"/>
        <v>-2.3626299446469767E-3</v>
      </c>
      <c r="F66" s="124">
        <v>24741</v>
      </c>
      <c r="G66" s="50">
        <f t="shared" si="1"/>
        <v>1.2860847796584585E-2</v>
      </c>
    </row>
    <row r="67" spans="2:7" x14ac:dyDescent="0.3">
      <c r="B67" s="123">
        <v>45847</v>
      </c>
      <c r="C67" s="125">
        <v>1525.5</v>
      </c>
      <c r="D67" s="50">
        <f t="shared" si="0"/>
        <v>3.2207862507612095E-2</v>
      </c>
      <c r="F67" s="124">
        <v>25114</v>
      </c>
      <c r="G67" s="50">
        <f t="shared" si="1"/>
        <v>1.5076189321369338E-2</v>
      </c>
    </row>
    <row r="68" spans="2:7" x14ac:dyDescent="0.3">
      <c r="B68" s="123" t="s">
        <v>112</v>
      </c>
      <c r="C68" s="125">
        <v>1553.8</v>
      </c>
      <c r="D68" s="50">
        <f t="shared" si="0"/>
        <v>1.8551294657489281E-2</v>
      </c>
      <c r="F68" s="124">
        <v>25327.05</v>
      </c>
      <c r="G68" s="50">
        <f t="shared" si="1"/>
        <v>8.4833160786812467E-3</v>
      </c>
    </row>
    <row r="69" spans="2:7" x14ac:dyDescent="0.3">
      <c r="B69" s="123" t="s">
        <v>113</v>
      </c>
      <c r="C69" s="125">
        <v>1407.7</v>
      </c>
      <c r="D69" s="50">
        <f t="shared" si="0"/>
        <v>-9.4027545372634802E-2</v>
      </c>
      <c r="F69" s="124">
        <v>24654.7</v>
      </c>
      <c r="G69" s="50">
        <f t="shared" si="1"/>
        <v>-2.6546715863079107E-2</v>
      </c>
    </row>
    <row r="70" spans="2:7" x14ac:dyDescent="0.3">
      <c r="B70" s="123" t="s">
        <v>114</v>
      </c>
      <c r="C70" s="125">
        <v>1400.6</v>
      </c>
      <c r="D70" s="50">
        <f t="shared" si="0"/>
        <v>-5.0436882858564402E-3</v>
      </c>
      <c r="F70" s="124">
        <v>24894.25</v>
      </c>
      <c r="G70" s="50">
        <f t="shared" si="1"/>
        <v>9.7162001565624934E-3</v>
      </c>
    </row>
    <row r="71" spans="2:7" x14ac:dyDescent="0.3">
      <c r="B71" s="123">
        <v>45787</v>
      </c>
      <c r="C71" s="125">
        <v>1457.2</v>
      </c>
      <c r="D71" s="50">
        <f t="shared" si="0"/>
        <v>4.0411252320434299E-2</v>
      </c>
      <c r="F71" s="124">
        <v>25285.35</v>
      </c>
      <c r="G71" s="50">
        <f t="shared" si="1"/>
        <v>1.5710455225604214E-2</v>
      </c>
    </row>
    <row r="72" spans="2:7" x14ac:dyDescent="0.3">
      <c r="B72" s="123">
        <v>46001</v>
      </c>
      <c r="C72" s="125">
        <v>1447.6</v>
      </c>
      <c r="D72" s="50">
        <f t="shared" si="0"/>
        <v>-6.5879769420807976E-3</v>
      </c>
      <c r="F72" s="124">
        <v>25709.85</v>
      </c>
      <c r="G72" s="50">
        <f t="shared" si="1"/>
        <v>1.6788377459675319E-2</v>
      </c>
    </row>
    <row r="73" spans="2:7" x14ac:dyDescent="0.3">
      <c r="B73" s="123" t="s">
        <v>115</v>
      </c>
      <c r="C73" s="125">
        <v>1453.7</v>
      </c>
      <c r="D73" s="50">
        <f t="shared" si="0"/>
        <v>4.2138712351478258E-3</v>
      </c>
      <c r="F73" s="124">
        <v>25795.15</v>
      </c>
      <c r="G73" s="50">
        <f t="shared" si="1"/>
        <v>3.3177945417808274E-3</v>
      </c>
    </row>
    <row r="74" spans="2:7" x14ac:dyDescent="0.3">
      <c r="B74" s="123" t="s">
        <v>116</v>
      </c>
      <c r="C74" s="125">
        <v>1424.4</v>
      </c>
      <c r="D74" s="50">
        <f t="shared" si="0"/>
        <v>-2.0155465364242953E-2</v>
      </c>
      <c r="F74" s="124">
        <v>25722.1</v>
      </c>
      <c r="G74" s="50">
        <f t="shared" si="1"/>
        <v>-2.8319277073404203E-3</v>
      </c>
    </row>
    <row r="75" spans="2:7" x14ac:dyDescent="0.3">
      <c r="B75" s="123">
        <v>45699</v>
      </c>
      <c r="C75" s="125">
        <v>1386.7</v>
      </c>
      <c r="D75" s="50">
        <f t="shared" ref="D75:D112" si="2">C75/C74-1</f>
        <v>-2.6467284470654384E-2</v>
      </c>
      <c r="F75" s="124">
        <v>25492.3</v>
      </c>
      <c r="G75" s="50">
        <f t="shared" ref="G75:G112" si="3">F75/F74-1</f>
        <v>-8.9339517379996014E-3</v>
      </c>
    </row>
    <row r="76" spans="2:7" x14ac:dyDescent="0.3">
      <c r="B76" s="123">
        <v>45911</v>
      </c>
      <c r="C76" s="125">
        <v>1439.2</v>
      </c>
      <c r="D76" s="50">
        <f t="shared" si="2"/>
        <v>3.7859666834931804E-2</v>
      </c>
      <c r="F76" s="124">
        <v>25910.05</v>
      </c>
      <c r="G76" s="50">
        <f t="shared" si="3"/>
        <v>1.6387301263518728E-2</v>
      </c>
    </row>
    <row r="77" spans="2:7" x14ac:dyDescent="0.3">
      <c r="B77" s="123" t="s">
        <v>117</v>
      </c>
      <c r="C77" s="125">
        <v>1461.5</v>
      </c>
      <c r="D77" s="50">
        <f t="shared" si="2"/>
        <v>1.5494719288493553E-2</v>
      </c>
      <c r="F77" s="124">
        <v>26068.15</v>
      </c>
      <c r="G77" s="50">
        <f t="shared" si="3"/>
        <v>6.1018793865701415E-3</v>
      </c>
    </row>
    <row r="78" spans="2:7" x14ac:dyDescent="0.3">
      <c r="B78" s="123" t="s">
        <v>118</v>
      </c>
      <c r="C78" s="125">
        <v>1517.3</v>
      </c>
      <c r="D78" s="50">
        <f t="shared" si="2"/>
        <v>3.8179952104002712E-2</v>
      </c>
      <c r="F78" s="124">
        <v>26202.95</v>
      </c>
      <c r="G78" s="50">
        <f t="shared" si="3"/>
        <v>5.1710612375637233E-3</v>
      </c>
    </row>
    <row r="79" spans="2:7" x14ac:dyDescent="0.3">
      <c r="B79" s="123" t="s">
        <v>119</v>
      </c>
      <c r="C79" s="125">
        <v>1570.8</v>
      </c>
      <c r="D79" s="50">
        <f t="shared" si="2"/>
        <v>3.5260001318130785E-2</v>
      </c>
      <c r="F79" s="124">
        <v>26186.45</v>
      </c>
      <c r="G79" s="50">
        <f t="shared" si="3"/>
        <v>-6.297000910202577E-4</v>
      </c>
    </row>
    <row r="80" spans="2:7" x14ac:dyDescent="0.3">
      <c r="B80" s="123">
        <v>45850</v>
      </c>
      <c r="C80" s="125">
        <v>1578.4</v>
      </c>
      <c r="D80" s="50">
        <f t="shared" si="2"/>
        <v>4.8382989559461187E-3</v>
      </c>
      <c r="F80" s="124">
        <v>26046.95</v>
      </c>
      <c r="G80" s="50">
        <f t="shared" si="3"/>
        <v>-5.3271825696113995E-3</v>
      </c>
    </row>
    <row r="81" spans="2:7" x14ac:dyDescent="0.3">
      <c r="B81" s="123" t="s">
        <v>120</v>
      </c>
      <c r="C81" s="125">
        <v>1612.5</v>
      </c>
      <c r="D81" s="50">
        <f t="shared" si="2"/>
        <v>2.1604156107450478E-2</v>
      </c>
      <c r="F81" s="124">
        <v>25966.400000000001</v>
      </c>
      <c r="G81" s="50">
        <f t="shared" si="3"/>
        <v>-3.0924925951022475E-3</v>
      </c>
    </row>
    <row r="82" spans="2:7" x14ac:dyDescent="0.3">
      <c r="B82" s="123" t="s">
        <v>121</v>
      </c>
      <c r="C82" s="125">
        <v>1612.3</v>
      </c>
      <c r="D82" s="50">
        <f t="shared" si="2"/>
        <v>-1.2403100775193465E-4</v>
      </c>
      <c r="F82" s="124">
        <v>26042.3</v>
      </c>
      <c r="G82" s="50">
        <f t="shared" si="3"/>
        <v>2.9230081952060782E-3</v>
      </c>
    </row>
    <row r="83" spans="2:7" x14ac:dyDescent="0.3">
      <c r="B83" s="123" t="s">
        <v>122</v>
      </c>
      <c r="C83" s="125">
        <v>1612</v>
      </c>
      <c r="D83" s="50">
        <f t="shared" si="2"/>
        <v>-1.8606959002664958E-4</v>
      </c>
      <c r="F83" s="124">
        <v>26328.55</v>
      </c>
      <c r="G83" s="50">
        <f t="shared" si="3"/>
        <v>1.0991732681061128E-2</v>
      </c>
    </row>
    <row r="84" spans="2:7" x14ac:dyDescent="0.3">
      <c r="B84" s="123">
        <v>46113</v>
      </c>
      <c r="C84" s="125">
        <v>1582.2</v>
      </c>
      <c r="D84" s="50">
        <f t="shared" si="2"/>
        <v>-1.8486352357320102E-2</v>
      </c>
      <c r="F84" s="124">
        <v>25683.3</v>
      </c>
      <c r="G84" s="50">
        <f t="shared" si="3"/>
        <v>-2.4507616256877029E-2</v>
      </c>
    </row>
    <row r="85" spans="2:7" x14ac:dyDescent="0.3">
      <c r="B85" s="123">
        <v>46327</v>
      </c>
      <c r="C85" s="125">
        <v>1670.5</v>
      </c>
      <c r="D85" s="50">
        <f t="shared" si="2"/>
        <v>5.5808368095057403E-2</v>
      </c>
      <c r="F85" s="124">
        <v>25694.35</v>
      </c>
      <c r="G85" s="50">
        <f t="shared" si="3"/>
        <v>4.3024066222008273E-4</v>
      </c>
    </row>
    <row r="86" spans="2:7" x14ac:dyDescent="0.3">
      <c r="B86" s="123" t="s">
        <v>123</v>
      </c>
      <c r="C86" s="125">
        <v>1701.1</v>
      </c>
      <c r="D86" s="50">
        <f t="shared" si="2"/>
        <v>1.8317868901526424E-2</v>
      </c>
      <c r="F86" s="124">
        <v>25048.65</v>
      </c>
      <c r="G86" s="50">
        <f t="shared" si="3"/>
        <v>-2.5130038315816394E-2</v>
      </c>
    </row>
    <row r="87" spans="2:7" x14ac:dyDescent="0.3">
      <c r="B87" s="123" t="s">
        <v>124</v>
      </c>
      <c r="C87" s="125">
        <v>1743.1</v>
      </c>
      <c r="D87" s="50">
        <f t="shared" si="2"/>
        <v>2.4689906531068173E-2</v>
      </c>
      <c r="F87" s="124">
        <v>25320.65</v>
      </c>
      <c r="G87" s="50">
        <f t="shared" si="3"/>
        <v>1.0858868641623332E-2</v>
      </c>
    </row>
    <row r="88" spans="2:7" x14ac:dyDescent="0.3">
      <c r="B88" s="123">
        <v>46024</v>
      </c>
      <c r="C88" s="125">
        <v>1619.9</v>
      </c>
      <c r="D88" s="50">
        <f t="shared" si="2"/>
        <v>-7.0678675922207446E-2</v>
      </c>
      <c r="F88" s="124">
        <v>25693.7</v>
      </c>
      <c r="G88" s="50">
        <f t="shared" si="3"/>
        <v>1.4733034104574605E-2</v>
      </c>
    </row>
    <row r="89" spans="2:7" x14ac:dyDescent="0.3">
      <c r="B89" s="123">
        <v>46236</v>
      </c>
      <c r="C89" s="125">
        <v>1534.4</v>
      </c>
      <c r="D89" s="50">
        <f t="shared" si="2"/>
        <v>-5.2781035866411474E-2</v>
      </c>
      <c r="F89" s="124">
        <v>25471.1</v>
      </c>
      <c r="G89" s="50">
        <f t="shared" si="3"/>
        <v>-8.6636023616685209E-3</v>
      </c>
    </row>
    <row r="90" spans="2:7" x14ac:dyDescent="0.3">
      <c r="B90" s="123" t="s">
        <v>125</v>
      </c>
      <c r="C90" s="125">
        <v>1456.9</v>
      </c>
      <c r="D90" s="50">
        <f t="shared" si="2"/>
        <v>-5.0508342022940522E-2</v>
      </c>
      <c r="F90" s="124">
        <v>25571.25</v>
      </c>
      <c r="G90" s="50">
        <f t="shared" si="3"/>
        <v>3.9319071418195684E-3</v>
      </c>
    </row>
    <row r="91" spans="2:7" x14ac:dyDescent="0.3">
      <c r="B91" s="123" t="s">
        <v>126</v>
      </c>
      <c r="C91" s="125">
        <v>1357.8</v>
      </c>
      <c r="D91" s="50">
        <f t="shared" si="2"/>
        <v>-6.8021140778365075E-2</v>
      </c>
      <c r="F91" s="124">
        <v>25178.65</v>
      </c>
      <c r="G91" s="50">
        <f t="shared" si="3"/>
        <v>-1.5353179840641329E-2</v>
      </c>
    </row>
    <row r="92" spans="2:7" x14ac:dyDescent="0.3">
      <c r="B92" s="123">
        <v>46025</v>
      </c>
      <c r="C92" s="125">
        <v>1331.7</v>
      </c>
      <c r="D92" s="50">
        <f t="shared" si="2"/>
        <v>-1.9222271321254869E-2</v>
      </c>
      <c r="F92" s="124">
        <v>24450.45</v>
      </c>
      <c r="G92" s="50">
        <f t="shared" si="3"/>
        <v>-2.892132818876314E-2</v>
      </c>
    </row>
    <row r="93" spans="2:7" x14ac:dyDescent="0.3">
      <c r="B93" s="123">
        <v>46237</v>
      </c>
      <c r="C93" s="125">
        <v>1332.8</v>
      </c>
      <c r="D93" s="50">
        <f t="shared" si="2"/>
        <v>8.2601186453401532E-4</v>
      </c>
      <c r="F93" s="124">
        <v>23151.1</v>
      </c>
      <c r="G93" s="50">
        <f t="shared" si="3"/>
        <v>-5.3142171207482991E-2</v>
      </c>
    </row>
    <row r="94" spans="2:7" x14ac:dyDescent="0.3">
      <c r="B94" s="123" t="s">
        <v>127</v>
      </c>
      <c r="C94" s="125">
        <v>1384.8</v>
      </c>
      <c r="D94" s="50">
        <f t="shared" si="2"/>
        <v>3.9015606242496892E-2</v>
      </c>
      <c r="F94" s="124">
        <v>23114.5</v>
      </c>
      <c r="G94" s="50">
        <f t="shared" si="3"/>
        <v>-1.5809184012853805E-3</v>
      </c>
    </row>
    <row r="95" spans="2:7" x14ac:dyDescent="0.3">
      <c r="B95" s="123" t="s">
        <v>128</v>
      </c>
      <c r="C95" s="125">
        <v>1391.6</v>
      </c>
      <c r="D95" s="50">
        <f t="shared" si="2"/>
        <v>4.9104563835933313E-3</v>
      </c>
      <c r="F95" s="124">
        <v>22819.599999999999</v>
      </c>
      <c r="G95" s="50">
        <f t="shared" si="3"/>
        <v>-1.275822535637805E-2</v>
      </c>
    </row>
    <row r="96" spans="2:7" x14ac:dyDescent="0.3">
      <c r="B96" s="123" t="s">
        <v>129</v>
      </c>
      <c r="C96" s="125">
        <v>1441.5</v>
      </c>
      <c r="D96" s="50">
        <f t="shared" si="2"/>
        <v>3.5858005173900587E-2</v>
      </c>
      <c r="F96" s="124">
        <v>22713.1</v>
      </c>
      <c r="G96" s="50">
        <f t="shared" si="3"/>
        <v>-4.6670406142088616E-3</v>
      </c>
    </row>
    <row r="97" spans="2:7" x14ac:dyDescent="0.3">
      <c r="B97" s="123">
        <v>46146</v>
      </c>
      <c r="C97" s="125">
        <v>1440.2</v>
      </c>
      <c r="D97" s="50">
        <f t="shared" si="2"/>
        <v>-9.018383628164317E-4</v>
      </c>
      <c r="F97" s="124">
        <v>24050.6</v>
      </c>
      <c r="G97" s="50">
        <f t="shared" si="3"/>
        <v>5.8886721759689342E-2</v>
      </c>
    </row>
    <row r="98" spans="2:7" x14ac:dyDescent="0.3">
      <c r="B98" s="123">
        <v>46360</v>
      </c>
      <c r="C98" s="125">
        <v>1511.4</v>
      </c>
      <c r="D98" s="50">
        <f t="shared" si="2"/>
        <v>4.9437578114150948E-2</v>
      </c>
      <c r="F98" s="124">
        <v>24353.55</v>
      </c>
      <c r="G98" s="50">
        <f t="shared" si="3"/>
        <v>1.2596359342386565E-2</v>
      </c>
    </row>
    <row r="99" spans="2:7" x14ac:dyDescent="0.3">
      <c r="B99" s="123" t="s">
        <v>130</v>
      </c>
      <c r="C99" s="125">
        <v>1358.5</v>
      </c>
      <c r="D99" s="50">
        <f t="shared" si="2"/>
        <v>-0.10116448326055316</v>
      </c>
      <c r="F99" s="124">
        <v>23897.95</v>
      </c>
      <c r="G99" s="50">
        <f t="shared" si="3"/>
        <v>-1.8707744866764742E-2</v>
      </c>
    </row>
    <row r="100" spans="2:7" x14ac:dyDescent="0.3">
      <c r="B100" s="123" t="s">
        <v>131</v>
      </c>
      <c r="C100" s="125">
        <v>1473.5</v>
      </c>
      <c r="D100" s="50">
        <f t="shared" si="2"/>
        <v>8.4652189915347842E-2</v>
      </c>
      <c r="F100" s="124">
        <v>23997.55</v>
      </c>
      <c r="G100" s="50">
        <f t="shared" si="3"/>
        <v>4.167721499124255E-3</v>
      </c>
    </row>
    <row r="101" spans="2:7" x14ac:dyDescent="0.3">
      <c r="B101" s="123">
        <v>46086</v>
      </c>
      <c r="C101" s="125">
        <v>1463</v>
      </c>
      <c r="D101" s="50">
        <f t="shared" si="2"/>
        <v>-7.1258907363420665E-3</v>
      </c>
      <c r="F101" s="124">
        <v>24176.15</v>
      </c>
      <c r="G101" s="50">
        <f t="shared" si="3"/>
        <v>7.4424264143633234E-3</v>
      </c>
    </row>
    <row r="102" spans="2:7" x14ac:dyDescent="0.3">
      <c r="B102" s="123">
        <v>46300</v>
      </c>
      <c r="C102" s="125">
        <v>1370.5</v>
      </c>
      <c r="D102" s="50">
        <f t="shared" si="2"/>
        <v>-6.3226247436773741E-2</v>
      </c>
      <c r="F102" s="124">
        <v>23643.5</v>
      </c>
      <c r="G102" s="50">
        <f t="shared" si="3"/>
        <v>-2.2032043977225579E-2</v>
      </c>
    </row>
    <row r="103" spans="2:7" x14ac:dyDescent="0.3">
      <c r="B103" s="123" t="s">
        <v>132</v>
      </c>
      <c r="C103" s="125">
        <v>1422.2</v>
      </c>
      <c r="D103" s="50">
        <f t="shared" si="2"/>
        <v>3.7723458591754966E-2</v>
      </c>
      <c r="F103" s="124">
        <v>23719.3</v>
      </c>
      <c r="G103" s="50">
        <f t="shared" si="3"/>
        <v>3.2059551250871454E-3</v>
      </c>
    </row>
    <row r="104" spans="2:7" x14ac:dyDescent="0.3">
      <c r="B104" s="123" t="s">
        <v>133</v>
      </c>
      <c r="C104" s="125">
        <v>1483.9</v>
      </c>
      <c r="D104" s="50">
        <f t="shared" si="2"/>
        <v>4.3383490367036925E-2</v>
      </c>
      <c r="F104" s="124">
        <v>23547.75</v>
      </c>
      <c r="G104" s="50">
        <f t="shared" si="3"/>
        <v>-7.2325068615008981E-3</v>
      </c>
    </row>
    <row r="105" spans="2:7" x14ac:dyDescent="0.3">
      <c r="B105" s="123" t="s">
        <v>134</v>
      </c>
      <c r="C105" s="125">
        <v>1483.5</v>
      </c>
      <c r="D105" s="50">
        <f t="shared" si="2"/>
        <v>-2.6955994339250555E-4</v>
      </c>
      <c r="F105" s="124">
        <v>23366.7</v>
      </c>
      <c r="G105" s="50">
        <f t="shared" si="3"/>
        <v>-7.6886326719113329E-3</v>
      </c>
    </row>
    <row r="106" spans="2:7" x14ac:dyDescent="0.3">
      <c r="B106" s="123">
        <v>46209</v>
      </c>
      <c r="C106" s="125">
        <v>1429.2</v>
      </c>
      <c r="D106" s="50">
        <f t="shared" si="2"/>
        <v>-3.6602628918099067E-2</v>
      </c>
      <c r="F106" s="124">
        <v>23622.9</v>
      </c>
      <c r="G106" s="50">
        <f t="shared" si="3"/>
        <v>1.0964321020940027E-2</v>
      </c>
    </row>
    <row r="107" spans="2:7" x14ac:dyDescent="0.3">
      <c r="B107" s="123" t="s">
        <v>135</v>
      </c>
      <c r="C107" s="125">
        <v>1409.6</v>
      </c>
      <c r="D107" s="50">
        <f t="shared" si="2"/>
        <v>-1.3713965855023935E-2</v>
      </c>
      <c r="F107" s="124">
        <v>24013.1</v>
      </c>
      <c r="G107" s="50">
        <f t="shared" si="3"/>
        <v>1.6517870371546062E-2</v>
      </c>
    </row>
    <row r="108" spans="2:7" x14ac:dyDescent="0.3">
      <c r="B108" s="123" t="s">
        <v>136</v>
      </c>
      <c r="C108" s="125">
        <v>1437.1</v>
      </c>
      <c r="D108" s="50">
        <f t="shared" si="2"/>
        <v>1.9509080590238259E-2</v>
      </c>
      <c r="F108" s="124">
        <v>24056</v>
      </c>
      <c r="G108" s="50">
        <f t="shared" si="3"/>
        <v>1.7865248551833801E-3</v>
      </c>
    </row>
    <row r="109" spans="2:7" x14ac:dyDescent="0.3">
      <c r="B109" s="123" t="s">
        <v>137</v>
      </c>
      <c r="C109" s="125">
        <v>1410.1</v>
      </c>
      <c r="D109" s="50">
        <f t="shared" si="2"/>
        <v>-1.8787836615406062E-2</v>
      </c>
      <c r="F109" s="124">
        <v>24270.85</v>
      </c>
      <c r="G109" s="50">
        <f t="shared" si="3"/>
        <v>8.9312437645492349E-3</v>
      </c>
    </row>
    <row r="110" spans="2:7" x14ac:dyDescent="0.3">
      <c r="B110" s="123">
        <v>46149</v>
      </c>
      <c r="C110" s="125">
        <v>1454.8</v>
      </c>
      <c r="D110" s="50">
        <f t="shared" si="2"/>
        <v>3.1699879441174472E-2</v>
      </c>
      <c r="F110" s="124">
        <v>24206.9</v>
      </c>
      <c r="G110" s="50">
        <f t="shared" si="3"/>
        <v>-2.6348479760699428E-3</v>
      </c>
    </row>
    <row r="111" spans="2:7" x14ac:dyDescent="0.3">
      <c r="B111" s="123">
        <v>46363</v>
      </c>
      <c r="C111" s="125">
        <v>1572.9</v>
      </c>
      <c r="D111" s="50">
        <f t="shared" si="2"/>
        <v>8.117954357987367E-2</v>
      </c>
      <c r="F111" s="124">
        <v>24334.3</v>
      </c>
      <c r="G111" s="50">
        <f t="shared" si="3"/>
        <v>5.262962213253175E-3</v>
      </c>
    </row>
    <row r="112" spans="2:7" x14ac:dyDescent="0.3">
      <c r="B112" s="123" t="s">
        <v>138</v>
      </c>
      <c r="C112" s="125">
        <v>1559.5</v>
      </c>
      <c r="D112" s="50">
        <f t="shared" si="2"/>
        <v>-8.5192955686947958E-3</v>
      </c>
      <c r="F112" s="124">
        <v>23767.45</v>
      </c>
      <c r="G112" s="50">
        <f t="shared" si="3"/>
        <v>-2.3294280090242925E-2</v>
      </c>
    </row>
    <row r="113" spans="3:3" x14ac:dyDescent="0.3">
      <c r="C113" s="125"/>
    </row>
  </sheetData>
  <mergeCells count="3">
    <mergeCell ref="B6:D6"/>
    <mergeCell ref="F6:G6"/>
    <mergeCell ref="I6:J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3D51-6E5E-4D5C-9A09-AA4D960CB2BF}">
  <dimension ref="B2:H33"/>
  <sheetViews>
    <sheetView showGridLines="0" workbookViewId="0">
      <pane ySplit="6" topLeftCell="A7" activePane="bottomLeft" state="frozen"/>
      <selection pane="bottomLeft" activeCell="G15" sqref="G15"/>
    </sheetView>
  </sheetViews>
  <sheetFormatPr defaultRowHeight="14.4" x14ac:dyDescent="0.3"/>
  <cols>
    <col min="1" max="1" width="1.88671875" customWidth="1"/>
    <col min="2" max="2" width="6.21875" customWidth="1"/>
    <col min="3" max="3" width="13.33203125" customWidth="1"/>
  </cols>
  <sheetData>
    <row r="2" spans="2:8" s="259" customFormat="1" x14ac:dyDescent="0.3">
      <c r="B2" s="185" t="s">
        <v>496</v>
      </c>
    </row>
    <row r="3" spans="2:8" s="259" customFormat="1" ht="3.6" customHeight="1" x14ac:dyDescent="0.3">
      <c r="B3" s="185"/>
    </row>
    <row r="4" spans="2:8" x14ac:dyDescent="0.3">
      <c r="B4" s="51" t="s">
        <v>194</v>
      </c>
      <c r="C4" s="51"/>
    </row>
    <row r="5" spans="2:8" ht="3.6" customHeight="1" x14ac:dyDescent="0.3"/>
    <row r="6" spans="2:8" x14ac:dyDescent="0.3">
      <c r="B6" s="52" t="s">
        <v>193</v>
      </c>
      <c r="C6" s="16" t="s">
        <v>494</v>
      </c>
    </row>
    <row r="7" spans="2:8" x14ac:dyDescent="0.3">
      <c r="B7" s="127">
        <v>2000</v>
      </c>
      <c r="C7" s="262">
        <v>-0.14649999999999999</v>
      </c>
      <c r="E7" t="s">
        <v>195</v>
      </c>
      <c r="G7" s="11">
        <f>AVERAGE(C7:C32)</f>
        <v>0.1514923076923077</v>
      </c>
    </row>
    <row r="8" spans="2:8" ht="16.8" thickBot="1" x14ac:dyDescent="0.35">
      <c r="B8" s="127">
        <v>2001</v>
      </c>
      <c r="C8" s="262">
        <v>-0.1618</v>
      </c>
      <c r="E8" t="s">
        <v>196</v>
      </c>
      <c r="G8" s="122">
        <v>1.2999999999999999E-2</v>
      </c>
      <c r="H8" s="53">
        <v>1</v>
      </c>
    </row>
    <row r="9" spans="2:8" ht="15" thickBot="1" x14ac:dyDescent="0.35">
      <c r="B9" s="127">
        <v>2002</v>
      </c>
      <c r="C9" s="262">
        <v>3.2500000000000001E-2</v>
      </c>
      <c r="E9" s="87" t="s">
        <v>197</v>
      </c>
      <c r="F9" s="87"/>
      <c r="G9" s="88">
        <f>SUM(G7:G8)</f>
        <v>0.16449230769230772</v>
      </c>
    </row>
    <row r="10" spans="2:8" x14ac:dyDescent="0.3">
      <c r="B10" s="127">
        <v>2003</v>
      </c>
      <c r="C10" s="262">
        <v>0.71900000000000008</v>
      </c>
    </row>
    <row r="11" spans="2:8" x14ac:dyDescent="0.3">
      <c r="B11" s="127">
        <v>2004</v>
      </c>
      <c r="C11" s="262">
        <v>0.10679999999999999</v>
      </c>
    </row>
    <row r="12" spans="2:8" x14ac:dyDescent="0.3">
      <c r="B12" s="127">
        <v>2005</v>
      </c>
      <c r="C12" s="262">
        <v>0.36340000000000006</v>
      </c>
    </row>
    <row r="13" spans="2:8" x14ac:dyDescent="0.3">
      <c r="B13" s="127">
        <v>2006</v>
      </c>
      <c r="C13" s="262">
        <v>0.39829999999999999</v>
      </c>
    </row>
    <row r="14" spans="2:8" x14ac:dyDescent="0.3">
      <c r="B14" s="127">
        <v>2007</v>
      </c>
      <c r="C14" s="262">
        <v>0.54770000000000008</v>
      </c>
    </row>
    <row r="15" spans="2:8" x14ac:dyDescent="0.3">
      <c r="B15" s="127">
        <v>2008</v>
      </c>
      <c r="C15" s="262">
        <v>-0.51790000000000003</v>
      </c>
    </row>
    <row r="16" spans="2:8" x14ac:dyDescent="0.3">
      <c r="B16" s="127">
        <v>2009</v>
      </c>
      <c r="C16" s="262">
        <v>0.75760000000000005</v>
      </c>
    </row>
    <row r="17" spans="2:3" x14ac:dyDescent="0.3">
      <c r="B17" s="127">
        <v>2010</v>
      </c>
      <c r="C17" s="262">
        <v>0.17949999999999999</v>
      </c>
    </row>
    <row r="18" spans="2:3" x14ac:dyDescent="0.3">
      <c r="B18" s="127">
        <v>2011</v>
      </c>
      <c r="C18" s="262">
        <v>-0.2462</v>
      </c>
    </row>
    <row r="19" spans="2:3" x14ac:dyDescent="0.3">
      <c r="B19" s="127">
        <v>2012</v>
      </c>
      <c r="C19" s="262">
        <v>0.27699999999999997</v>
      </c>
    </row>
    <row r="20" spans="2:3" x14ac:dyDescent="0.3">
      <c r="B20" s="127">
        <v>2013</v>
      </c>
      <c r="C20" s="262">
        <v>6.7599999999999993E-2</v>
      </c>
    </row>
    <row r="21" spans="2:3" x14ac:dyDescent="0.3">
      <c r="B21" s="127">
        <v>2014</v>
      </c>
      <c r="C21" s="262">
        <v>0.31390000000000001</v>
      </c>
    </row>
    <row r="22" spans="2:3" x14ac:dyDescent="0.3">
      <c r="B22" s="127">
        <v>2015</v>
      </c>
      <c r="C22" s="262">
        <v>-4.0599999999999997E-2</v>
      </c>
    </row>
    <row r="23" spans="2:3" x14ac:dyDescent="0.3">
      <c r="B23" s="127">
        <v>2016</v>
      </c>
      <c r="C23" s="262">
        <v>3.0099999999999998E-2</v>
      </c>
    </row>
    <row r="24" spans="2:3" x14ac:dyDescent="0.3">
      <c r="B24" s="127">
        <v>2017</v>
      </c>
      <c r="C24" s="262">
        <v>0.28649999999999998</v>
      </c>
    </row>
    <row r="25" spans="2:3" x14ac:dyDescent="0.3">
      <c r="B25" s="127">
        <v>2018</v>
      </c>
      <c r="C25" s="262">
        <v>3.15E-2</v>
      </c>
    </row>
    <row r="26" spans="2:3" x14ac:dyDescent="0.3">
      <c r="B26" s="127">
        <v>2019</v>
      </c>
      <c r="C26" s="262">
        <v>0.1202</v>
      </c>
    </row>
    <row r="27" spans="2:3" x14ac:dyDescent="0.3">
      <c r="B27" s="127">
        <v>2020</v>
      </c>
      <c r="C27" s="262">
        <v>0.14899999999999999</v>
      </c>
    </row>
    <row r="28" spans="2:3" x14ac:dyDescent="0.3">
      <c r="B28" s="127">
        <v>2021</v>
      </c>
      <c r="C28" s="262">
        <v>0.2412</v>
      </c>
    </row>
    <row r="29" spans="2:3" x14ac:dyDescent="0.3">
      <c r="B29" s="127">
        <v>2022</v>
      </c>
      <c r="C29" s="262">
        <v>4.3200000000000002E-2</v>
      </c>
    </row>
    <row r="30" spans="2:3" x14ac:dyDescent="0.3">
      <c r="B30" s="127">
        <v>2023</v>
      </c>
      <c r="C30" s="262">
        <v>0.19420000000000001</v>
      </c>
    </row>
    <row r="31" spans="2:3" x14ac:dyDescent="0.3">
      <c r="B31" s="127">
        <v>2024</v>
      </c>
      <c r="C31" s="262">
        <v>8.7499999999999994E-2</v>
      </c>
    </row>
    <row r="32" spans="2:3" x14ac:dyDescent="0.3">
      <c r="B32" s="127">
        <v>2025</v>
      </c>
      <c r="C32" s="262">
        <v>0.1051</v>
      </c>
    </row>
    <row r="33" spans="2:2" x14ac:dyDescent="0.3">
      <c r="B33" s="4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2201-1502-4AD3-BB15-D87692D57D1F}">
  <sheetPr>
    <tabColor rgb="FF002060"/>
  </sheetPr>
  <dimension ref="B2:P43"/>
  <sheetViews>
    <sheetView showGridLines="0" topLeftCell="A4" workbookViewId="0">
      <selection activeCell="H4" sqref="H4"/>
    </sheetView>
  </sheetViews>
  <sheetFormatPr defaultRowHeight="14.4" x14ac:dyDescent="0.3"/>
  <cols>
    <col min="1" max="1" width="1.88671875" customWidth="1"/>
    <col min="3" max="3" width="13" customWidth="1"/>
    <col min="4" max="4" width="15" customWidth="1"/>
    <col min="6" max="6" width="9.5546875" bestFit="1" customWidth="1"/>
    <col min="7" max="7" width="10.44140625" bestFit="1" customWidth="1"/>
    <col min="8" max="11" width="9.5546875" bestFit="1" customWidth="1"/>
  </cols>
  <sheetData>
    <row r="2" spans="2:11" x14ac:dyDescent="0.3">
      <c r="B2" s="259" t="s">
        <v>488</v>
      </c>
    </row>
    <row r="3" spans="2:11" s="118" customFormat="1" ht="3.6" customHeight="1" x14ac:dyDescent="0.3">
      <c r="B3" s="260"/>
    </row>
    <row r="4" spans="2:11" x14ac:dyDescent="0.3">
      <c r="B4" s="70" t="s">
        <v>290</v>
      </c>
      <c r="C4" s="51"/>
      <c r="D4" s="51"/>
      <c r="E4" s="51"/>
      <c r="F4" s="99">
        <v>46082</v>
      </c>
      <c r="G4" s="100">
        <f>F4+365</f>
        <v>46447</v>
      </c>
      <c r="H4" s="100">
        <f>G4+366</f>
        <v>46813</v>
      </c>
      <c r="I4" s="100">
        <f t="shared" ref="I4:K4" si="0">H4+365</f>
        <v>47178</v>
      </c>
      <c r="J4" s="100">
        <f t="shared" si="0"/>
        <v>47543</v>
      </c>
      <c r="K4" s="100">
        <f t="shared" si="0"/>
        <v>47908</v>
      </c>
    </row>
    <row r="6" spans="2:11" x14ac:dyDescent="0.3">
      <c r="B6" s="104" t="s">
        <v>250</v>
      </c>
      <c r="C6" s="104"/>
      <c r="D6" s="104"/>
      <c r="E6" s="84"/>
      <c r="F6" s="278">
        <f>'Intrinsic Growth'!K35</f>
        <v>21880</v>
      </c>
      <c r="G6" s="190">
        <f>F6*(1+$D$17)</f>
        <v>23083.399999999998</v>
      </c>
      <c r="H6" s="190">
        <f>G6*(1+$D$17)</f>
        <v>24352.986999999997</v>
      </c>
      <c r="I6" s="190">
        <f>H6*(1+$D$17)</f>
        <v>25692.401284999996</v>
      </c>
      <c r="J6" s="190">
        <f>I6*(1+$D$17)</f>
        <v>27105.483355674995</v>
      </c>
      <c r="K6" s="190">
        <f>J6*(1+$D$17)</f>
        <v>28596.284940237118</v>
      </c>
    </row>
    <row r="7" spans="2:11" x14ac:dyDescent="0.3">
      <c r="B7" s="104" t="s">
        <v>7</v>
      </c>
      <c r="C7" s="104"/>
      <c r="D7" s="104"/>
      <c r="E7" s="84"/>
      <c r="F7" s="279">
        <v>0.25</v>
      </c>
      <c r="G7" s="279">
        <v>0.25</v>
      </c>
      <c r="H7" s="279">
        <v>0.25</v>
      </c>
      <c r="I7" s="279">
        <v>0.25</v>
      </c>
      <c r="J7" s="279">
        <v>0.25</v>
      </c>
      <c r="K7" s="279">
        <v>0.25</v>
      </c>
    </row>
    <row r="8" spans="2:11" x14ac:dyDescent="0.3">
      <c r="B8" s="104" t="s">
        <v>291</v>
      </c>
      <c r="C8" s="104"/>
      <c r="D8" s="104"/>
      <c r="E8" s="84"/>
      <c r="F8" s="278">
        <f t="shared" ref="F8:K8" si="1">F6*(1-F7)</f>
        <v>16410</v>
      </c>
      <c r="G8" s="190">
        <f t="shared" si="1"/>
        <v>17312.55</v>
      </c>
      <c r="H8" s="190">
        <f t="shared" si="1"/>
        <v>18264.740249999999</v>
      </c>
      <c r="I8" s="190">
        <f t="shared" si="1"/>
        <v>19269.300963749996</v>
      </c>
      <c r="J8" s="190">
        <f t="shared" si="1"/>
        <v>20329.112516756246</v>
      </c>
      <c r="K8" s="190">
        <f t="shared" si="1"/>
        <v>21447.213705177837</v>
      </c>
    </row>
    <row r="9" spans="2:11" x14ac:dyDescent="0.3">
      <c r="B9" s="104" t="s">
        <v>292</v>
      </c>
      <c r="C9" s="104"/>
      <c r="D9" s="104"/>
      <c r="E9" s="84"/>
      <c r="F9" s="279">
        <v>0.5806</v>
      </c>
      <c r="G9" s="190">
        <f>F9+(($K$9-$F$9)/4)</f>
        <v>0.48388231400016479</v>
      </c>
      <c r="H9" s="190">
        <f>G9+(($K$9-$F$9)/4)</f>
        <v>0.38716462800032958</v>
      </c>
      <c r="I9" s="190">
        <f t="shared" ref="I9" si="2">H9+(($K$9-$F$9)/4)</f>
        <v>0.29044694200049437</v>
      </c>
      <c r="J9" s="190">
        <f>I9+(($K$9-$F$9)/4)</f>
        <v>0.19372925600065916</v>
      </c>
      <c r="K9" s="190">
        <f>'Intrinsic Growth'!K54</f>
        <v>0.19372925600065916</v>
      </c>
    </row>
    <row r="10" spans="2:11" x14ac:dyDescent="0.3">
      <c r="B10" s="104" t="s">
        <v>293</v>
      </c>
      <c r="C10" s="104"/>
      <c r="D10" s="104"/>
      <c r="E10" s="84"/>
      <c r="F10" s="278">
        <f>F8*(1-F9)</f>
        <v>6882.3540000000003</v>
      </c>
      <c r="G10" s="278">
        <f t="shared" ref="G10:K10" si="3">G8*(1-G9)</f>
        <v>8935.3132447564458</v>
      </c>
      <c r="H10" s="278">
        <f t="shared" si="3"/>
        <v>11193.278885586102</v>
      </c>
      <c r="I10" s="278">
        <f t="shared" si="3"/>
        <v>13672.59142434163</v>
      </c>
      <c r="J10" s="278">
        <f t="shared" si="3"/>
        <v>16390.768673731371</v>
      </c>
      <c r="K10" s="278">
        <f t="shared" si="3"/>
        <v>17292.260950786593</v>
      </c>
    </row>
    <row r="11" spans="2:11" x14ac:dyDescent="0.3">
      <c r="B11" s="104" t="s">
        <v>294</v>
      </c>
      <c r="C11" s="84"/>
      <c r="D11" s="84"/>
      <c r="E11" s="84"/>
      <c r="F11" s="278"/>
      <c r="G11" s="280">
        <v>0.5</v>
      </c>
      <c r="H11" s="190">
        <f>G11+1</f>
        <v>1.5</v>
      </c>
      <c r="I11" s="190">
        <f t="shared" ref="I11:K11" si="4">H11+1</f>
        <v>2.5</v>
      </c>
      <c r="J11" s="190">
        <f t="shared" si="4"/>
        <v>3.5</v>
      </c>
      <c r="K11" s="190">
        <f t="shared" si="4"/>
        <v>4.5</v>
      </c>
    </row>
    <row r="12" spans="2:11" x14ac:dyDescent="0.3">
      <c r="B12" s="26" t="s">
        <v>295</v>
      </c>
      <c r="F12" s="281"/>
      <c r="G12" s="282">
        <f>1/(1+$D$18)^G11</f>
        <v>0.93953292456958803</v>
      </c>
      <c r="H12" s="282">
        <f>1/(1+$D$18)^H11</f>
        <v>0.8293464915568376</v>
      </c>
      <c r="I12" s="282">
        <f>1/(1+$D$18)^I11</f>
        <v>0.73208249021473382</v>
      </c>
      <c r="J12" s="282">
        <f>1/(1+$D$18)^J11</f>
        <v>0.64622540510533522</v>
      </c>
      <c r="K12" s="282">
        <f>1/(1+$D$18)^K11</f>
        <v>0.5704374572339006</v>
      </c>
    </row>
    <row r="13" spans="2:11" ht="3.6" customHeight="1" x14ac:dyDescent="0.3">
      <c r="B13" s="26"/>
      <c r="F13" s="281"/>
      <c r="G13" s="282"/>
      <c r="H13" s="282"/>
      <c r="I13" s="282"/>
      <c r="J13" s="282"/>
      <c r="K13" s="282"/>
    </row>
    <row r="14" spans="2:11" ht="15" thickBot="1" x14ac:dyDescent="0.35">
      <c r="B14" s="101" t="s">
        <v>296</v>
      </c>
      <c r="C14" s="102"/>
      <c r="D14" s="102"/>
      <c r="E14" s="102"/>
      <c r="F14" s="283"/>
      <c r="G14" s="284">
        <f>G10*G12</f>
        <v>8395.0209847913993</v>
      </c>
      <c r="H14" s="284">
        <f t="shared" ref="H14:K14" si="5">H10*H12</f>
        <v>9283.1065727780624</v>
      </c>
      <c r="I14" s="284">
        <f t="shared" si="5"/>
        <v>10009.464777620635</v>
      </c>
      <c r="J14" s="284">
        <f t="shared" si="5"/>
        <v>10592.131126169894</v>
      </c>
      <c r="K14" s="284">
        <f t="shared" si="5"/>
        <v>9864.1533665917759</v>
      </c>
    </row>
    <row r="16" spans="2:11" x14ac:dyDescent="0.3">
      <c r="B16" s="105" t="s">
        <v>297</v>
      </c>
      <c r="C16" s="106"/>
      <c r="D16" s="108">
        <v>0.16589999999999999</v>
      </c>
    </row>
    <row r="17" spans="2:16" x14ac:dyDescent="0.3">
      <c r="B17" s="105" t="s">
        <v>298</v>
      </c>
      <c r="C17" s="106"/>
      <c r="D17" s="108">
        <v>5.5E-2</v>
      </c>
    </row>
    <row r="18" spans="2:16" x14ac:dyDescent="0.3">
      <c r="B18" s="105" t="s">
        <v>299</v>
      </c>
      <c r="C18" s="106"/>
      <c r="D18" s="107">
        <f>'WACC&gt;'!K43</f>
        <v>0.1328593466476358</v>
      </c>
    </row>
    <row r="20" spans="2:16" x14ac:dyDescent="0.3">
      <c r="B20" s="70" t="s">
        <v>300</v>
      </c>
      <c r="C20" s="51"/>
      <c r="D20" s="51"/>
      <c r="E20" s="109"/>
      <c r="F20" s="70" t="s">
        <v>323</v>
      </c>
      <c r="G20" s="51"/>
      <c r="H20" s="51"/>
      <c r="I20" s="51"/>
      <c r="J20" s="51"/>
      <c r="L20" s="70" t="s">
        <v>322</v>
      </c>
      <c r="M20" s="51"/>
      <c r="N20" s="51"/>
      <c r="O20" s="51"/>
      <c r="P20" s="51"/>
    </row>
    <row r="21" spans="2:16" ht="4.2" customHeight="1" x14ac:dyDescent="0.3"/>
    <row r="22" spans="2:16" x14ac:dyDescent="0.3">
      <c r="B22" t="s">
        <v>301</v>
      </c>
      <c r="D22" s="282">
        <f>K10*(1+D16)</f>
        <v>20161.047042522088</v>
      </c>
      <c r="F22" s="111">
        <f>D33</f>
        <v>195854.0350207391</v>
      </c>
      <c r="G22" s="113">
        <v>0.11</v>
      </c>
      <c r="H22" s="113">
        <v>0.13289999999999999</v>
      </c>
      <c r="I22" s="113">
        <v>0.15</v>
      </c>
      <c r="J22" s="113">
        <v>0.1855</v>
      </c>
      <c r="L22" s="111">
        <f>D40</f>
        <v>516.94992993258427</v>
      </c>
      <c r="M22" s="113">
        <v>0.11</v>
      </c>
      <c r="N22" s="113">
        <v>0.13289999999999999</v>
      </c>
      <c r="O22" s="113">
        <v>0.15</v>
      </c>
      <c r="P22" s="113">
        <v>0.1855</v>
      </c>
    </row>
    <row r="23" spans="2:16" x14ac:dyDescent="0.3">
      <c r="B23" t="s">
        <v>299</v>
      </c>
      <c r="D23" s="11">
        <f>D18</f>
        <v>0.1328593466476358</v>
      </c>
      <c r="F23" s="112">
        <v>0.03</v>
      </c>
      <c r="G23" s="293">
        <f t="dataTable" ref="G23:J28" dt2D="1" dtr="1" r1="D23" r2="D24" ca="1"/>
        <v>191901.58195431865</v>
      </c>
      <c r="H23" s="293">
        <v>159908.85651803293</v>
      </c>
      <c r="I23" s="293">
        <v>143982.34691219637</v>
      </c>
      <c r="J23" s="293">
        <v>122102.82480293151</v>
      </c>
      <c r="L23" s="112">
        <v>0.03</v>
      </c>
      <c r="M23" s="114">
        <f t="dataTable" ref="M23:P27" dt2D="1" dtr="1" r1="D23" r2="D24"/>
        <v>507.16809454855439</v>
      </c>
      <c r="N23" s="114">
        <v>427.99003260950803</v>
      </c>
      <c r="O23" s="114">
        <v>388.5738795044806</v>
      </c>
      <c r="P23" s="114">
        <v>334.42475237824755</v>
      </c>
    </row>
    <row r="24" spans="2:16" x14ac:dyDescent="0.3">
      <c r="B24" t="s">
        <v>302</v>
      </c>
      <c r="D24" s="11">
        <f>D17</f>
        <v>5.5E-2</v>
      </c>
      <c r="F24" s="112">
        <v>0.04</v>
      </c>
      <c r="G24" s="293">
        <v>212438.39697237106</v>
      </c>
      <c r="H24" s="293">
        <v>171939.53248036676</v>
      </c>
      <c r="I24" s="293">
        <v>152694.93510167315</v>
      </c>
      <c r="J24" s="293">
        <v>127185.91401083392</v>
      </c>
      <c r="L24" s="112">
        <v>0.04</v>
      </c>
      <c r="M24" s="114">
        <v>557.99418671030026</v>
      </c>
      <c r="N24" s="114">
        <v>457.76447644085096</v>
      </c>
      <c r="O24" s="114">
        <v>410.13646405794861</v>
      </c>
      <c r="P24" s="114">
        <v>347.00477320037231</v>
      </c>
    </row>
    <row r="25" spans="2:16" ht="15" customHeight="1" thickBot="1" x14ac:dyDescent="0.35">
      <c r="F25" s="112">
        <v>5.5E-2</v>
      </c>
      <c r="G25" s="293">
        <v>257245.99337539452</v>
      </c>
      <c r="H25" s="294">
        <v>195776.95012845693</v>
      </c>
      <c r="I25" s="293">
        <v>169202.99693436598</v>
      </c>
      <c r="J25" s="293">
        <v>136271.20564105024</v>
      </c>
      <c r="L25" s="112">
        <v>5.5E-2</v>
      </c>
      <c r="M25" s="114">
        <v>668.8874786995641</v>
      </c>
      <c r="N25" s="115">
        <v>516.75915430179793</v>
      </c>
      <c r="O25" s="114">
        <v>450.99188742241415</v>
      </c>
      <c r="P25" s="114">
        <v>369.48975294566412</v>
      </c>
    </row>
    <row r="26" spans="2:16" ht="15" customHeight="1" thickBot="1" x14ac:dyDescent="0.35">
      <c r="B26" s="87" t="s">
        <v>303</v>
      </c>
      <c r="C26" s="87"/>
      <c r="D26" s="110">
        <f>D22/(D23-D24)</f>
        <v>258941.89857210006</v>
      </c>
      <c r="F26" s="112">
        <v>6.7500000000000004E-2</v>
      </c>
      <c r="G26" s="293">
        <v>318746.61588934832</v>
      </c>
      <c r="H26" s="293">
        <v>223994.28065225383</v>
      </c>
      <c r="I26" s="293">
        <v>187545.28785958028</v>
      </c>
      <c r="J26" s="293">
        <v>145606.72776108186</v>
      </c>
      <c r="L26" s="112">
        <v>6.7500000000000004E-2</v>
      </c>
      <c r="M26" s="114">
        <v>821.09395790051462</v>
      </c>
      <c r="N26" s="114">
        <v>586.59357801843885</v>
      </c>
      <c r="O26" s="114">
        <v>496.38680227182044</v>
      </c>
      <c r="P26" s="114">
        <v>392.59402238733054</v>
      </c>
    </row>
    <row r="27" spans="2:16" x14ac:dyDescent="0.3">
      <c r="F27" s="112">
        <v>8.2500000000000004E-2</v>
      </c>
      <c r="G27" s="293">
        <v>466348.10992283735</v>
      </c>
      <c r="H27" s="293">
        <v>276330.7103618675</v>
      </c>
      <c r="I27" s="293">
        <v>218523.37919994217</v>
      </c>
      <c r="J27" s="293">
        <v>159800.34682901343</v>
      </c>
      <c r="L27" s="112">
        <v>8.2500000000000004E-2</v>
      </c>
      <c r="M27" s="114">
        <v>1186.3895079827955</v>
      </c>
      <c r="N27" s="114">
        <v>716.11980676906546</v>
      </c>
      <c r="O27" s="114">
        <v>573.05376957303986</v>
      </c>
      <c r="P27" s="114">
        <v>427.72148447048556</v>
      </c>
    </row>
    <row r="28" spans="2:16" ht="3.6" customHeight="1" x14ac:dyDescent="0.3">
      <c r="F28" s="112">
        <v>7.0000000000000007E-2</v>
      </c>
      <c r="G28" s="114">
        <v>335659.28708068561</v>
      </c>
      <c r="H28" s="114">
        <v>230983.56538294945</v>
      </c>
      <c r="I28" s="114">
        <v>191901.58195431868</v>
      </c>
      <c r="J28" s="114">
        <v>147716.31327911498</v>
      </c>
    </row>
    <row r="29" spans="2:16" x14ac:dyDescent="0.3">
      <c r="B29" s="70" t="s">
        <v>308</v>
      </c>
      <c r="C29" s="51"/>
      <c r="D29" s="51"/>
    </row>
    <row r="30" spans="2:16" ht="3.6" customHeight="1" x14ac:dyDescent="0.3"/>
    <row r="31" spans="2:16" x14ac:dyDescent="0.3">
      <c r="B31" t="str">
        <f>B14</f>
        <v>PV of FCFF</v>
      </c>
      <c r="D31" s="282">
        <f>SUM(G14:K14)</f>
        <v>48143.876827951761</v>
      </c>
    </row>
    <row r="32" spans="2:16" x14ac:dyDescent="0.3">
      <c r="B32" t="s">
        <v>304</v>
      </c>
      <c r="D32" s="282">
        <f>D26*K12</f>
        <v>147710.15819278735</v>
      </c>
    </row>
    <row r="33" spans="2:6" x14ac:dyDescent="0.3">
      <c r="B33" s="26" t="s">
        <v>305</v>
      </c>
      <c r="C33" s="26"/>
      <c r="D33" s="285">
        <f>SUM(D31:D32)</f>
        <v>195854.0350207391</v>
      </c>
    </row>
    <row r="34" spans="2:6" x14ac:dyDescent="0.3">
      <c r="D34" s="282"/>
    </row>
    <row r="35" spans="2:6" x14ac:dyDescent="0.3">
      <c r="B35" t="s">
        <v>306</v>
      </c>
      <c r="D35" s="282">
        <f>'Infosys Raw FS'!N37</f>
        <v>22201</v>
      </c>
    </row>
    <row r="36" spans="2:6" x14ac:dyDescent="0.3">
      <c r="B36" t="s">
        <v>307</v>
      </c>
      <c r="D36" s="282">
        <f>'Infosys Raw FS'!N10</f>
        <v>9176</v>
      </c>
    </row>
    <row r="37" spans="2:6" x14ac:dyDescent="0.3">
      <c r="B37" s="26" t="s">
        <v>309</v>
      </c>
      <c r="C37" s="26"/>
      <c r="D37" s="285">
        <f>D33+D35-D36</f>
        <v>208879.0350207391</v>
      </c>
    </row>
    <row r="38" spans="2:6" x14ac:dyDescent="0.3">
      <c r="B38" t="s">
        <v>310</v>
      </c>
      <c r="D38" s="282">
        <f>'Raw Data Sheet'!B6</f>
        <v>404.06047651071185</v>
      </c>
    </row>
    <row r="39" spans="2:6" ht="3.6" customHeight="1" thickBot="1" x14ac:dyDescent="0.35">
      <c r="D39" s="9"/>
    </row>
    <row r="40" spans="2:6" ht="15" thickBot="1" x14ac:dyDescent="0.35">
      <c r="B40" s="87" t="s">
        <v>311</v>
      </c>
      <c r="C40" s="87"/>
      <c r="D40" s="110">
        <f>D37/D38</f>
        <v>516.94992993258427</v>
      </c>
    </row>
    <row r="42" spans="2:6" x14ac:dyDescent="0.3">
      <c r="B42" t="s">
        <v>312</v>
      </c>
      <c r="D42" s="286">
        <v>1041</v>
      </c>
      <c r="F42" s="26"/>
    </row>
    <row r="43" spans="2:6" x14ac:dyDescent="0.3">
      <c r="B43" t="s">
        <v>313</v>
      </c>
      <c r="D43" s="265">
        <f>D42/D40</f>
        <v>2.0137346766557398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B299-40D0-4487-A97F-4F676E17C7ED}">
  <dimension ref="A2:K65"/>
  <sheetViews>
    <sheetView showGridLines="0" zoomScaleNormal="100" workbookViewId="0">
      <pane ySplit="2" topLeftCell="A48" activePane="bottomLeft" state="frozen"/>
      <selection pane="bottomLeft" activeCell="I63" sqref="I63"/>
    </sheetView>
  </sheetViews>
  <sheetFormatPr defaultRowHeight="14.4" x14ac:dyDescent="0.3"/>
  <cols>
    <col min="1" max="1" width="1.88671875" customWidth="1"/>
    <col min="2" max="2" width="17.5546875" bestFit="1" customWidth="1"/>
    <col min="7" max="7" width="12.109375" bestFit="1" customWidth="1"/>
    <col min="8" max="8" width="10.44140625" customWidth="1"/>
    <col min="9" max="9" width="9" bestFit="1" customWidth="1"/>
    <col min="10" max="10" width="13.33203125" bestFit="1" customWidth="1"/>
    <col min="11" max="11" width="9.109375" bestFit="1" customWidth="1"/>
  </cols>
  <sheetData>
    <row r="2" spans="1:11" x14ac:dyDescent="0.3">
      <c r="B2" s="1"/>
      <c r="C2" s="51"/>
      <c r="D2" s="51"/>
      <c r="E2" s="51"/>
      <c r="F2" s="51"/>
      <c r="G2" s="73">
        <v>44621</v>
      </c>
      <c r="H2" s="73">
        <v>44986</v>
      </c>
      <c r="I2" s="73">
        <v>45352</v>
      </c>
      <c r="J2" s="73">
        <v>45717</v>
      </c>
      <c r="K2" s="73">
        <v>46082</v>
      </c>
    </row>
    <row r="3" spans="1:11" x14ac:dyDescent="0.3">
      <c r="B3" s="70" t="s">
        <v>230</v>
      </c>
      <c r="C3" s="1"/>
      <c r="D3" s="1"/>
      <c r="E3" s="1"/>
      <c r="F3" s="1"/>
      <c r="G3" s="1"/>
      <c r="H3" s="1"/>
      <c r="I3" s="1"/>
      <c r="J3" s="1"/>
      <c r="K3" s="1"/>
    </row>
    <row r="4" spans="1:11" s="118" customFormat="1" ht="3.6" customHeight="1" x14ac:dyDescent="0.3">
      <c r="B4" s="109"/>
    </row>
    <row r="5" spans="1:11" x14ac:dyDescent="0.3">
      <c r="A5" t="s">
        <v>240</v>
      </c>
      <c r="B5" s="26" t="s">
        <v>231</v>
      </c>
    </row>
    <row r="6" spans="1:11" x14ac:dyDescent="0.3">
      <c r="B6" s="84" t="s">
        <v>232</v>
      </c>
      <c r="C6" s="84"/>
      <c r="D6" s="84"/>
      <c r="E6" s="84"/>
      <c r="F6" s="84"/>
      <c r="G6" s="85">
        <f>'Infosys Raw FS'!J36</f>
        <v>22698</v>
      </c>
      <c r="H6" s="85">
        <f>'Infosys Raw FS'!K36</f>
        <v>25424</v>
      </c>
      <c r="I6" s="85">
        <f>'Infosys Raw FS'!L36</f>
        <v>30193</v>
      </c>
      <c r="J6" s="85">
        <f>'Infosys Raw FS'!M36</f>
        <v>31158</v>
      </c>
      <c r="K6" s="85">
        <f>'Infosys Raw FS'!N36</f>
        <v>35234</v>
      </c>
    </row>
    <row r="7" spans="1:11" x14ac:dyDescent="0.3">
      <c r="B7" s="84" t="s">
        <v>233</v>
      </c>
      <c r="C7" s="84"/>
      <c r="D7" s="84"/>
      <c r="E7" s="84"/>
      <c r="F7" s="84"/>
      <c r="G7" s="85">
        <f>'Infosys Raw FS'!C38</f>
        <v>399</v>
      </c>
      <c r="H7" s="85">
        <f>'Infosys Raw FS'!D38</f>
        <v>614</v>
      </c>
      <c r="I7" s="85">
        <f>'Infosys Raw FS'!E38</f>
        <v>844</v>
      </c>
      <c r="J7" s="85">
        <f>'Infosys Raw FS'!F38</f>
        <v>830</v>
      </c>
      <c r="K7" s="85">
        <f>'Infosys Raw FS'!G38</f>
        <v>1524</v>
      </c>
    </row>
    <row r="8" spans="1:11" ht="15" thickBot="1" x14ac:dyDescent="0.35">
      <c r="B8" t="s">
        <v>234</v>
      </c>
      <c r="G8" s="82">
        <f>'Infosys Raw FS'!C39</f>
        <v>11418</v>
      </c>
      <c r="H8" s="82">
        <f>'Infosys Raw FS'!D39</f>
        <v>14219</v>
      </c>
      <c r="I8" s="82">
        <f>'Infosys Raw FS'!E39</f>
        <v>15390</v>
      </c>
      <c r="J8" s="82">
        <f>'Infosys Raw FS'!F39</f>
        <v>19216</v>
      </c>
      <c r="K8" s="82">
        <f>'Infosys Raw FS'!G39</f>
        <v>19788</v>
      </c>
    </row>
    <row r="9" spans="1:11" x14ac:dyDescent="0.3">
      <c r="B9" s="80" t="s">
        <v>235</v>
      </c>
      <c r="C9" s="81"/>
      <c r="D9" s="81"/>
      <c r="E9" s="81"/>
      <c r="F9" s="81"/>
      <c r="G9" s="86">
        <f>SUM(G6:G8)</f>
        <v>34515</v>
      </c>
      <c r="H9" s="86">
        <f t="shared" ref="H9:K9" si="0">SUM(H6:H8)</f>
        <v>40257</v>
      </c>
      <c r="I9" s="86">
        <f t="shared" si="0"/>
        <v>46427</v>
      </c>
      <c r="J9" s="86">
        <f t="shared" si="0"/>
        <v>51204</v>
      </c>
      <c r="K9" s="86">
        <f t="shared" si="0"/>
        <v>56546</v>
      </c>
    </row>
    <row r="10" spans="1:11" x14ac:dyDescent="0.3">
      <c r="G10" s="82"/>
      <c r="H10" s="82"/>
      <c r="I10" s="82"/>
      <c r="J10" s="82"/>
      <c r="K10" s="82"/>
    </row>
    <row r="11" spans="1:11" x14ac:dyDescent="0.3">
      <c r="A11" t="s">
        <v>240</v>
      </c>
      <c r="B11" s="26" t="s">
        <v>236</v>
      </c>
      <c r="G11" s="82"/>
      <c r="H11" s="82"/>
      <c r="I11" s="82"/>
      <c r="J11" s="82"/>
      <c r="K11" s="82"/>
    </row>
    <row r="12" spans="1:11" x14ac:dyDescent="0.3">
      <c r="B12" s="84" t="s">
        <v>237</v>
      </c>
      <c r="C12" s="84"/>
      <c r="D12" s="84"/>
      <c r="E12" s="84"/>
      <c r="F12" s="84"/>
      <c r="G12" s="85">
        <f>'Infosys Raw FS'!J12</f>
        <v>386</v>
      </c>
      <c r="H12" s="85">
        <f>'Infosys Raw FS'!K12</f>
        <v>388</v>
      </c>
      <c r="I12" s="85">
        <f>'Infosys Raw FS'!L12</f>
        <v>345</v>
      </c>
      <c r="J12" s="85">
        <f>'Infosys Raw FS'!M12</f>
        <v>385</v>
      </c>
      <c r="K12" s="85">
        <f>'Infosys Raw FS'!N12</f>
        <v>445</v>
      </c>
    </row>
    <row r="13" spans="1:11" x14ac:dyDescent="0.3">
      <c r="B13" s="84" t="s">
        <v>204</v>
      </c>
      <c r="C13" s="84"/>
      <c r="D13" s="84"/>
      <c r="E13" s="84"/>
      <c r="F13" s="84"/>
      <c r="G13" s="85">
        <f>'Infosys Raw FS'!J13</f>
        <v>4134</v>
      </c>
      <c r="H13" s="85">
        <f>'Infosys Raw FS'!K13</f>
        <v>3865</v>
      </c>
      <c r="I13" s="85">
        <f>'Infosys Raw FS'!L13</f>
        <v>3956</v>
      </c>
      <c r="J13" s="85">
        <f>'Infosys Raw FS'!M13</f>
        <v>4164</v>
      </c>
      <c r="K13" s="85">
        <f>'Infosys Raw FS'!N13</f>
        <v>4744</v>
      </c>
    </row>
    <row r="14" spans="1:11" x14ac:dyDescent="0.3">
      <c r="B14" s="84" t="s">
        <v>205</v>
      </c>
      <c r="C14" s="84"/>
      <c r="D14" s="84"/>
      <c r="E14" s="84"/>
      <c r="F14" s="84"/>
      <c r="G14" s="85">
        <f>'Infosys Raw FS'!J14</f>
        <v>0</v>
      </c>
      <c r="H14" s="85">
        <f>'Infosys Raw FS'!K14</f>
        <v>0</v>
      </c>
      <c r="I14" s="85">
        <f>'Infosys Raw FS'!L14</f>
        <v>0</v>
      </c>
      <c r="J14" s="85">
        <f>'Infosys Raw FS'!M14</f>
        <v>0</v>
      </c>
      <c r="K14" s="85">
        <f>'Infosys Raw FS'!N14</f>
        <v>0</v>
      </c>
    </row>
    <row r="15" spans="1:11" ht="15" thickBot="1" x14ac:dyDescent="0.35">
      <c r="B15" t="s">
        <v>238</v>
      </c>
      <c r="G15" s="82">
        <f>'Infosys Raw FS'!J15</f>
        <v>31385</v>
      </c>
      <c r="H15" s="82">
        <f>'Infosys Raw FS'!K15</f>
        <v>36637</v>
      </c>
      <c r="I15" s="82">
        <f>'Infosys Raw FS'!L15</f>
        <v>35244</v>
      </c>
      <c r="J15" s="82">
        <f>'Infosys Raw FS'!M15</f>
        <v>39201</v>
      </c>
      <c r="K15" s="82">
        <f>'Infosys Raw FS'!N15</f>
        <v>47071</v>
      </c>
    </row>
    <row r="16" spans="1:11" x14ac:dyDescent="0.3">
      <c r="B16" s="80" t="s">
        <v>326</v>
      </c>
      <c r="C16" s="81"/>
      <c r="D16" s="81"/>
      <c r="E16" s="81"/>
      <c r="F16" s="81"/>
      <c r="G16" s="86">
        <f>SUM(G12:G15)</f>
        <v>35905</v>
      </c>
      <c r="H16" s="86">
        <f t="shared" ref="H16:K16" si="1">SUM(H12:H15)</f>
        <v>40890</v>
      </c>
      <c r="I16" s="86">
        <f t="shared" si="1"/>
        <v>39545</v>
      </c>
      <c r="J16" s="86">
        <f t="shared" si="1"/>
        <v>43750</v>
      </c>
      <c r="K16" s="86">
        <f t="shared" si="1"/>
        <v>52260</v>
      </c>
    </row>
    <row r="17" spans="1:11" ht="15" thickBot="1" x14ac:dyDescent="0.35"/>
    <row r="18" spans="1:11" ht="15" thickBot="1" x14ac:dyDescent="0.35">
      <c r="A18" s="26" t="s">
        <v>240</v>
      </c>
      <c r="B18" s="87" t="s">
        <v>239</v>
      </c>
      <c r="C18" s="87"/>
      <c r="D18" s="87"/>
      <c r="E18" s="87"/>
      <c r="F18" s="87"/>
      <c r="G18" s="246">
        <f>G9-G16</f>
        <v>-1390</v>
      </c>
      <c r="H18" s="246">
        <f t="shared" ref="H18:K18" si="2">H9-H16</f>
        <v>-633</v>
      </c>
      <c r="I18" s="246">
        <f t="shared" si="2"/>
        <v>6882</v>
      </c>
      <c r="J18" s="246">
        <f t="shared" si="2"/>
        <v>7454</v>
      </c>
      <c r="K18" s="246">
        <f t="shared" si="2"/>
        <v>4286</v>
      </c>
    </row>
    <row r="20" spans="1:11" x14ac:dyDescent="0.3">
      <c r="B20" s="26" t="s">
        <v>241</v>
      </c>
    </row>
    <row r="21" spans="1:11" x14ac:dyDescent="0.3">
      <c r="B21" s="84" t="str">
        <f>'Infosys Raw FS'!B19</f>
        <v>Land</v>
      </c>
      <c r="C21" s="84"/>
      <c r="D21" s="84"/>
      <c r="E21" s="84"/>
      <c r="F21" s="84"/>
      <c r="G21" s="85">
        <f>'Infosys Raw FS'!J19</f>
        <v>2066</v>
      </c>
      <c r="H21" s="85">
        <f>'Infosys Raw FS'!K19</f>
        <v>2054</v>
      </c>
      <c r="I21" s="85">
        <f>'Infosys Raw FS'!L19</f>
        <v>2037</v>
      </c>
      <c r="J21" s="85">
        <f>'Infosys Raw FS'!M19</f>
        <v>2079</v>
      </c>
      <c r="K21" s="85">
        <f>'Infosys Raw FS'!N19</f>
        <v>1990</v>
      </c>
    </row>
    <row r="22" spans="1:11" x14ac:dyDescent="0.3">
      <c r="B22" s="84" t="str">
        <f>'Infosys Raw FS'!B20</f>
        <v>Building</v>
      </c>
      <c r="C22" s="84"/>
      <c r="D22" s="84"/>
      <c r="E22" s="84"/>
      <c r="F22" s="84"/>
      <c r="G22" s="85">
        <f>'Infosys Raw FS'!J20</f>
        <v>16760</v>
      </c>
      <c r="H22" s="85">
        <f>'Infosys Raw FS'!K20</f>
        <v>16903</v>
      </c>
      <c r="I22" s="85">
        <f>'Infosys Raw FS'!L20</f>
        <v>16515</v>
      </c>
      <c r="J22" s="85">
        <f>'Infosys Raw FS'!M20</f>
        <v>16376</v>
      </c>
      <c r="K22" s="85">
        <f>'Infosys Raw FS'!N20</f>
        <v>17193</v>
      </c>
    </row>
    <row r="23" spans="1:11" x14ac:dyDescent="0.3">
      <c r="B23" s="84" t="str">
        <f>'Infosys Raw FS'!B21</f>
        <v>Plant Machinery</v>
      </c>
      <c r="C23" s="84"/>
      <c r="D23" s="84"/>
      <c r="E23" s="84"/>
      <c r="F23" s="84"/>
      <c r="G23" s="85">
        <f>'Infosys Raw FS'!J21</f>
        <v>3210</v>
      </c>
      <c r="H23" s="85">
        <f>'Infosys Raw FS'!K21</f>
        <v>3302</v>
      </c>
      <c r="I23" s="85">
        <f>'Infosys Raw FS'!L21</f>
        <v>3428</v>
      </c>
      <c r="J23" s="85">
        <f>'Infosys Raw FS'!M21</f>
        <v>3461</v>
      </c>
      <c r="K23" s="85">
        <f>'Infosys Raw FS'!N21</f>
        <v>3714</v>
      </c>
    </row>
    <row r="24" spans="1:11" x14ac:dyDescent="0.3">
      <c r="B24" s="84" t="str">
        <f>'Infosys Raw FS'!B22</f>
        <v>Equipments</v>
      </c>
      <c r="C24" s="84"/>
      <c r="D24" s="84"/>
      <c r="E24" s="84"/>
      <c r="F24" s="84"/>
      <c r="G24" s="85">
        <f>'Infosys Raw FS'!J22</f>
        <v>1427</v>
      </c>
      <c r="H24" s="85">
        <f>'Infosys Raw FS'!K22</f>
        <v>1482</v>
      </c>
      <c r="I24" s="85">
        <f>'Infosys Raw FS'!L22</f>
        <v>1528</v>
      </c>
      <c r="J24" s="85">
        <f>'Infosys Raw FS'!M22</f>
        <v>1628</v>
      </c>
      <c r="K24" s="85">
        <f>'Infosys Raw FS'!N22</f>
        <v>1732</v>
      </c>
    </row>
    <row r="25" spans="1:11" x14ac:dyDescent="0.3">
      <c r="B25" s="84" t="str">
        <f>'Infosys Raw FS'!B23</f>
        <v>Computers</v>
      </c>
      <c r="C25" s="84"/>
      <c r="D25" s="84"/>
      <c r="E25" s="84"/>
      <c r="F25" s="84"/>
      <c r="G25" s="85">
        <f>'Infosys Raw FS'!J23</f>
        <v>9936</v>
      </c>
      <c r="H25" s="85">
        <f>'Infosys Raw FS'!K23</f>
        <v>11898</v>
      </c>
      <c r="I25" s="85">
        <f>'Infosys Raw FS'!L23</f>
        <v>12353</v>
      </c>
      <c r="J25" s="85">
        <f>'Infosys Raw FS'!M23</f>
        <v>12925</v>
      </c>
      <c r="K25" s="85">
        <f>'Infosys Raw FS'!N23</f>
        <v>13600</v>
      </c>
    </row>
    <row r="26" spans="1:11" x14ac:dyDescent="0.3">
      <c r="B26" s="84" t="str">
        <f>'Infosys Raw FS'!B24</f>
        <v>Furniture n fittings</v>
      </c>
      <c r="C26" s="84"/>
      <c r="D26" s="84"/>
      <c r="E26" s="84"/>
      <c r="F26" s="84"/>
      <c r="G26" s="85">
        <f>'Infosys Raw FS'!J24</f>
        <v>2278</v>
      </c>
      <c r="H26" s="85">
        <f>'Infosys Raw FS'!K24</f>
        <v>2303</v>
      </c>
      <c r="I26" s="85">
        <f>'Infosys Raw FS'!L24</f>
        <v>2326</v>
      </c>
      <c r="J26" s="85">
        <f>'Infosys Raw FS'!M24</f>
        <v>2340</v>
      </c>
      <c r="K26" s="85">
        <f>'Infosys Raw FS'!N24</f>
        <v>2438</v>
      </c>
    </row>
    <row r="27" spans="1:11" x14ac:dyDescent="0.3">
      <c r="B27" s="84" t="str">
        <f>'Infosys Raw FS'!B25</f>
        <v>Vehicles</v>
      </c>
      <c r="C27" s="84"/>
      <c r="D27" s="84"/>
      <c r="E27" s="84"/>
      <c r="F27" s="84"/>
      <c r="G27" s="85">
        <f>'Infosys Raw FS'!J25</f>
        <v>71</v>
      </c>
      <c r="H27" s="85">
        <f>'Infosys Raw FS'!K25</f>
        <v>60</v>
      </c>
      <c r="I27" s="85">
        <f>'Infosys Raw FS'!L25</f>
        <v>62</v>
      </c>
      <c r="J27" s="85">
        <f>'Infosys Raw FS'!M25</f>
        <v>72</v>
      </c>
      <c r="K27" s="85">
        <f>'Infosys Raw FS'!N25</f>
        <v>70</v>
      </c>
    </row>
    <row r="28" spans="1:11" x14ac:dyDescent="0.3">
      <c r="B28" s="84" t="str">
        <f>'Infosys Raw FS'!B26</f>
        <v>Intangible Assets</v>
      </c>
      <c r="C28" s="84"/>
      <c r="D28" s="84"/>
      <c r="E28" s="84"/>
      <c r="F28" s="84"/>
      <c r="G28" s="85">
        <f>'Infosys Raw FS'!J26</f>
        <v>6495</v>
      </c>
      <c r="H28" s="85">
        <f>'Infosys Raw FS'!K26</f>
        <v>7594</v>
      </c>
      <c r="I28" s="85">
        <f>'Infosys Raw FS'!L26</f>
        <v>7652</v>
      </c>
      <c r="J28" s="85">
        <f>'Infosys Raw FS'!M26</f>
        <v>10626</v>
      </c>
      <c r="K28" s="85">
        <f>'Infosys Raw FS'!N26</f>
        <v>12729</v>
      </c>
    </row>
    <row r="29" spans="1:11" ht="15" thickBot="1" x14ac:dyDescent="0.35">
      <c r="B29" t="str">
        <f>'Infosys Raw FS'!B27</f>
        <v>Other fixed assets</v>
      </c>
      <c r="G29" s="82">
        <f>'Infosys Raw FS'!J27</f>
        <v>2766</v>
      </c>
      <c r="H29" s="82">
        <f>'Infosys Raw FS'!K27</f>
        <v>3281</v>
      </c>
      <c r="I29" s="82">
        <f>'Infosys Raw FS'!L27</f>
        <v>3294</v>
      </c>
      <c r="J29" s="82">
        <f>'Infosys Raw FS'!M27</f>
        <v>5184</v>
      </c>
      <c r="K29" s="82">
        <f>'Infosys Raw FS'!N27</f>
        <v>6296</v>
      </c>
    </row>
    <row r="30" spans="1:11" x14ac:dyDescent="0.3">
      <c r="B30" s="80" t="s">
        <v>218</v>
      </c>
      <c r="C30" s="81"/>
      <c r="D30" s="81"/>
      <c r="E30" s="81"/>
      <c r="F30" s="81"/>
      <c r="G30" s="83">
        <f>SUM(G21:G29)</f>
        <v>45009</v>
      </c>
      <c r="H30" s="83">
        <f t="shared" ref="H30:K30" si="3">SUM(H21:H29)</f>
        <v>48877</v>
      </c>
      <c r="I30" s="83">
        <f t="shared" si="3"/>
        <v>49195</v>
      </c>
      <c r="J30" s="83">
        <f t="shared" si="3"/>
        <v>54691</v>
      </c>
      <c r="K30" s="83">
        <f t="shared" si="3"/>
        <v>59762</v>
      </c>
    </row>
    <row r="31" spans="1:11" ht="15" thickBot="1" x14ac:dyDescent="0.35">
      <c r="B31" t="s">
        <v>219</v>
      </c>
      <c r="G31" s="82">
        <f>'Infosys Raw FS'!J29</f>
        <v>-19209</v>
      </c>
      <c r="H31" s="82">
        <f>'Infosys Raw FS'!K29</f>
        <v>-19652</v>
      </c>
      <c r="I31" s="82">
        <f>'Infosys Raw FS'!L29</f>
        <v>-21573</v>
      </c>
      <c r="J31" s="82">
        <f>'Infosys Raw FS'!M29</f>
        <v>-23730</v>
      </c>
      <c r="K31" s="82">
        <f>'Infosys Raw FS'!N29</f>
        <v>-25992</v>
      </c>
    </row>
    <row r="32" spans="1:11" ht="15" thickBot="1" x14ac:dyDescent="0.35">
      <c r="B32" s="87" t="s">
        <v>242</v>
      </c>
      <c r="C32" s="87"/>
      <c r="D32" s="87"/>
      <c r="E32" s="87"/>
      <c r="F32" s="87"/>
      <c r="G32" s="93">
        <f>SUM(G30:G31)</f>
        <v>25800</v>
      </c>
      <c r="H32" s="93">
        <f t="shared" ref="H32:K32" si="4">SUM(H30:H31)</f>
        <v>29225</v>
      </c>
      <c r="I32" s="93">
        <f t="shared" si="4"/>
        <v>27622</v>
      </c>
      <c r="J32" s="93">
        <f t="shared" si="4"/>
        <v>30961</v>
      </c>
      <c r="K32" s="93">
        <f t="shared" si="4"/>
        <v>33770</v>
      </c>
    </row>
    <row r="34" spans="1:11" x14ac:dyDescent="0.3">
      <c r="A34" s="26" t="s">
        <v>240</v>
      </c>
      <c r="B34" s="26" t="s">
        <v>243</v>
      </c>
      <c r="C34" s="26"/>
      <c r="D34" s="26"/>
      <c r="E34" s="26"/>
      <c r="F34" s="26"/>
      <c r="G34" s="98">
        <f>'Infosys Raw FS'!J32</f>
        <v>416</v>
      </c>
      <c r="H34" s="98">
        <f>'Infosys Raw FS'!K32</f>
        <v>288</v>
      </c>
      <c r="I34" s="98">
        <f>'Infosys Raw FS'!L32</f>
        <v>293</v>
      </c>
      <c r="J34" s="98">
        <f>'Infosys Raw FS'!M32</f>
        <v>814</v>
      </c>
      <c r="K34" s="98">
        <f>'Infosys Raw FS'!N32</f>
        <v>526</v>
      </c>
    </row>
    <row r="35" spans="1:11" x14ac:dyDescent="0.3">
      <c r="B35" s="26" t="s">
        <v>250</v>
      </c>
      <c r="C35" s="26"/>
      <c r="D35" s="26"/>
      <c r="E35" s="26"/>
      <c r="F35" s="26"/>
      <c r="G35" s="98">
        <f>'Infosys Raw FS'!J33</f>
        <v>20324</v>
      </c>
      <c r="H35" s="98">
        <f>'Infosys Raw FS'!K33</f>
        <v>19478</v>
      </c>
      <c r="I35" s="98">
        <f>'Infosys Raw FS'!L33</f>
        <v>24623</v>
      </c>
      <c r="J35" s="98">
        <f>'Infosys Raw FS'!M33</f>
        <v>23541</v>
      </c>
      <c r="K35" s="98">
        <f>'Infosys Raw FS'!N33</f>
        <v>21880</v>
      </c>
    </row>
    <row r="36" spans="1:11" ht="15" thickBot="1" x14ac:dyDescent="0.35"/>
    <row r="37" spans="1:11" ht="15" thickBot="1" x14ac:dyDescent="0.35">
      <c r="B37" s="87" t="s">
        <v>252</v>
      </c>
      <c r="C37" s="90"/>
      <c r="D37" s="90"/>
      <c r="E37" s="90"/>
      <c r="F37" s="90"/>
      <c r="G37" s="91">
        <f>G35/G34/100</f>
        <v>0.48855769230769236</v>
      </c>
      <c r="H37" s="91">
        <f t="shared" ref="H37:K37" si="5">H35/H34/100</f>
        <v>0.67631944444444447</v>
      </c>
      <c r="I37" s="91">
        <f t="shared" si="5"/>
        <v>0.84037542662116038</v>
      </c>
      <c r="J37" s="91">
        <f t="shared" si="5"/>
        <v>0.28920147420147418</v>
      </c>
      <c r="K37" s="91">
        <f t="shared" si="5"/>
        <v>0.41596958174904941</v>
      </c>
    </row>
    <row r="40" spans="1:11" x14ac:dyDescent="0.3">
      <c r="A40" s="26" t="s">
        <v>240</v>
      </c>
      <c r="B40" s="70" t="s">
        <v>253</v>
      </c>
      <c r="C40" s="51"/>
      <c r="D40" s="51"/>
      <c r="E40" s="51"/>
      <c r="F40" s="51"/>
      <c r="G40" s="73">
        <v>44621</v>
      </c>
      <c r="H40" s="73">
        <v>44986</v>
      </c>
      <c r="I40" s="73">
        <v>45352</v>
      </c>
      <c r="J40" s="73">
        <v>45717</v>
      </c>
      <c r="K40" s="73">
        <v>46082</v>
      </c>
    </row>
    <row r="42" spans="1:11" x14ac:dyDescent="0.3">
      <c r="B42" s="95" t="s">
        <v>254</v>
      </c>
      <c r="C42" s="95"/>
      <c r="D42" s="95"/>
      <c r="E42" s="95"/>
      <c r="F42" s="95"/>
      <c r="G42" s="299">
        <f>-'Infosys Raw FS'!J63</f>
        <v>2161</v>
      </c>
      <c r="H42" s="299">
        <f>-'Infosys Raw FS'!K63</f>
        <v>2579</v>
      </c>
      <c r="I42" s="299">
        <f>-'Infosys Raw FS'!L63</f>
        <v>2201</v>
      </c>
      <c r="J42" s="299">
        <f>-'Infosys Raw FS'!M63</f>
        <v>2237</v>
      </c>
      <c r="K42" s="299">
        <f>-'Infosys Raw FS'!N63</f>
        <v>2727</v>
      </c>
    </row>
    <row r="43" spans="1:11" x14ac:dyDescent="0.3">
      <c r="B43" s="84" t="s">
        <v>281</v>
      </c>
      <c r="C43" s="84"/>
      <c r="D43" s="84"/>
      <c r="E43" s="84"/>
      <c r="F43" s="84"/>
      <c r="G43" s="298"/>
      <c r="H43" s="298">
        <f>H18-G18</f>
        <v>757</v>
      </c>
      <c r="I43" s="298">
        <f t="shared" ref="I43:K43" si="6">I18-H18</f>
        <v>7515</v>
      </c>
      <c r="J43" s="298">
        <f t="shared" si="6"/>
        <v>572</v>
      </c>
      <c r="K43" s="298">
        <f t="shared" si="6"/>
        <v>-3168</v>
      </c>
    </row>
    <row r="44" spans="1:11" x14ac:dyDescent="0.3">
      <c r="G44" s="295"/>
      <c r="H44" s="295"/>
      <c r="I44" s="295"/>
      <c r="J44" s="295"/>
      <c r="K44" s="295"/>
    </row>
    <row r="45" spans="1:11" x14ac:dyDescent="0.3">
      <c r="B45" s="84" t="s">
        <v>250</v>
      </c>
      <c r="C45" s="84"/>
      <c r="D45" s="84"/>
      <c r="E45" s="84"/>
      <c r="F45" s="84"/>
      <c r="G45" s="298">
        <f>G35</f>
        <v>20324</v>
      </c>
      <c r="H45" s="298">
        <f t="shared" ref="H45:K45" si="7">H35</f>
        <v>19478</v>
      </c>
      <c r="I45" s="298">
        <f t="shared" si="7"/>
        <v>24623</v>
      </c>
      <c r="J45" s="298">
        <f t="shared" si="7"/>
        <v>23541</v>
      </c>
      <c r="K45" s="298">
        <f t="shared" si="7"/>
        <v>21880</v>
      </c>
    </row>
    <row r="46" spans="1:11" x14ac:dyDescent="0.3">
      <c r="B46" s="84" t="s">
        <v>282</v>
      </c>
      <c r="C46" s="84"/>
      <c r="D46" s="84"/>
      <c r="E46" s="84"/>
      <c r="F46" s="84"/>
      <c r="G46" s="94">
        <v>0.25</v>
      </c>
      <c r="H46" s="94">
        <v>0.25</v>
      </c>
      <c r="I46" s="94">
        <v>0.25</v>
      </c>
      <c r="J46" s="94">
        <v>0.25</v>
      </c>
      <c r="K46" s="94">
        <v>0.25</v>
      </c>
    </row>
    <row r="47" spans="1:11" x14ac:dyDescent="0.3">
      <c r="B47" s="84" t="s">
        <v>284</v>
      </c>
      <c r="C47" s="84"/>
      <c r="D47" s="84"/>
      <c r="E47" s="84"/>
      <c r="F47" s="84"/>
      <c r="G47" s="298">
        <f>G45*(1-G46)</f>
        <v>15243</v>
      </c>
      <c r="H47" s="298">
        <f t="shared" ref="H47:K47" si="8">H45*(1-H46)</f>
        <v>14608.5</v>
      </c>
      <c r="I47" s="298">
        <f t="shared" si="8"/>
        <v>18467.25</v>
      </c>
      <c r="J47" s="298">
        <f t="shared" si="8"/>
        <v>17655.75</v>
      </c>
      <c r="K47" s="298">
        <f t="shared" si="8"/>
        <v>16410</v>
      </c>
    </row>
    <row r="48" spans="1:11" x14ac:dyDescent="0.3">
      <c r="G48" s="295"/>
      <c r="H48" s="295"/>
      <c r="I48" s="295"/>
      <c r="J48" s="295"/>
      <c r="K48" s="295"/>
    </row>
    <row r="49" spans="1:11" x14ac:dyDescent="0.3">
      <c r="B49" s="84" t="s">
        <v>283</v>
      </c>
      <c r="C49" s="84"/>
      <c r="D49" s="84"/>
      <c r="E49" s="84"/>
      <c r="F49" s="84"/>
      <c r="G49" s="298"/>
      <c r="H49" s="298">
        <f>SUM(H42:H43)</f>
        <v>3336</v>
      </c>
      <c r="I49" s="298">
        <f t="shared" ref="I49:K49" si="9">SUM(I42:I43)</f>
        <v>9716</v>
      </c>
      <c r="J49" s="298">
        <f>SUM(J42:J43)</f>
        <v>2809</v>
      </c>
      <c r="K49" s="298">
        <f t="shared" si="9"/>
        <v>-441</v>
      </c>
    </row>
    <row r="50" spans="1:11" ht="15" thickBot="1" x14ac:dyDescent="0.35">
      <c r="G50" s="72"/>
      <c r="H50" s="72"/>
      <c r="I50" s="72"/>
      <c r="J50" s="72"/>
      <c r="K50" s="72"/>
    </row>
    <row r="51" spans="1:11" ht="15" thickBot="1" x14ac:dyDescent="0.35">
      <c r="A51" s="26" t="s">
        <v>240</v>
      </c>
      <c r="B51" s="87" t="s">
        <v>285</v>
      </c>
      <c r="C51" s="87"/>
      <c r="D51" s="87"/>
      <c r="E51" s="87"/>
      <c r="F51" s="87"/>
      <c r="G51" s="87"/>
      <c r="H51" s="91">
        <f>H49/H47</f>
        <v>0.22836020125269535</v>
      </c>
      <c r="I51" s="91">
        <f t="shared" ref="I51:J51" si="10">I49/I47</f>
        <v>0.52612056478360336</v>
      </c>
      <c r="J51" s="91">
        <f t="shared" si="10"/>
        <v>0.15909831074862296</v>
      </c>
      <c r="K51" s="263">
        <f>K49/K47</f>
        <v>-2.6873857404021938E-2</v>
      </c>
    </row>
    <row r="52" spans="1:11" x14ac:dyDescent="0.3">
      <c r="B52" s="26"/>
      <c r="C52" s="26"/>
      <c r="D52" s="26"/>
      <c r="E52" s="26"/>
      <c r="F52" s="26"/>
      <c r="G52" s="26"/>
      <c r="H52" s="89"/>
      <c r="I52" s="89"/>
      <c r="J52" s="89"/>
      <c r="K52" s="89"/>
    </row>
    <row r="53" spans="1:11" x14ac:dyDescent="0.3">
      <c r="J53" s="48" t="s">
        <v>286</v>
      </c>
      <c r="K53" s="92">
        <f>AVERAGE(H51:K51)</f>
        <v>0.22167630484522494</v>
      </c>
    </row>
    <row r="54" spans="1:11" x14ac:dyDescent="0.3">
      <c r="J54" s="48" t="s">
        <v>287</v>
      </c>
      <c r="K54" s="92">
        <f>MEDIAN(H51:K51)</f>
        <v>0.19372925600065916</v>
      </c>
    </row>
    <row r="57" spans="1:11" x14ac:dyDescent="0.3">
      <c r="A57" t="s">
        <v>240</v>
      </c>
      <c r="B57" s="70" t="s">
        <v>288</v>
      </c>
      <c r="C57" s="51"/>
      <c r="D57" s="51"/>
      <c r="E57" s="51"/>
      <c r="F57" s="51"/>
      <c r="G57" s="73">
        <v>44621</v>
      </c>
      <c r="H57" s="73">
        <v>44986</v>
      </c>
      <c r="I57" s="73">
        <v>45352</v>
      </c>
      <c r="J57" s="73">
        <v>45717</v>
      </c>
      <c r="K57" s="73">
        <v>46082</v>
      </c>
    </row>
    <row r="59" spans="1:11" x14ac:dyDescent="0.3">
      <c r="B59" s="95" t="s">
        <v>285</v>
      </c>
      <c r="C59" s="95"/>
      <c r="D59" s="95"/>
      <c r="E59" s="95"/>
      <c r="F59" s="95"/>
      <c r="G59" s="95"/>
      <c r="H59" s="96">
        <f>H51</f>
        <v>0.22836020125269535</v>
      </c>
      <c r="I59" s="96">
        <f t="shared" ref="I59:K59" si="11">I51</f>
        <v>0.52612056478360336</v>
      </c>
      <c r="J59" s="96">
        <f t="shared" si="11"/>
        <v>0.15909831074862296</v>
      </c>
      <c r="K59" s="264">
        <f t="shared" si="11"/>
        <v>-2.6873857404021938E-2</v>
      </c>
    </row>
    <row r="60" spans="1:11" x14ac:dyDescent="0.3">
      <c r="B60" s="84" t="s">
        <v>252</v>
      </c>
      <c r="C60" s="84"/>
      <c r="D60" s="84"/>
      <c r="E60" s="84"/>
      <c r="F60" s="84"/>
      <c r="G60" s="84"/>
      <c r="H60" s="97">
        <f>H37</f>
        <v>0.67631944444444447</v>
      </c>
      <c r="I60" s="97">
        <f t="shared" ref="I60:K60" si="12">I37</f>
        <v>0.84037542662116038</v>
      </c>
      <c r="J60" s="97">
        <f t="shared" si="12"/>
        <v>0.28920147420147418</v>
      </c>
      <c r="K60" s="96">
        <f t="shared" si="12"/>
        <v>0.41596958174904941</v>
      </c>
    </row>
    <row r="61" spans="1:11" ht="15" thickBot="1" x14ac:dyDescent="0.35"/>
    <row r="62" spans="1:11" ht="15" thickBot="1" x14ac:dyDescent="0.35">
      <c r="A62" s="26"/>
      <c r="B62" s="87" t="s">
        <v>289</v>
      </c>
      <c r="C62" s="90"/>
      <c r="D62" s="90"/>
      <c r="E62" s="90"/>
      <c r="F62" s="90"/>
      <c r="G62" s="90"/>
      <c r="H62" s="91">
        <f>H59*H60</f>
        <v>0.15444444444444444</v>
      </c>
      <c r="I62" s="91">
        <f t="shared" ref="I62:K62" si="13">I59*I60</f>
        <v>0.44213879408418655</v>
      </c>
      <c r="J62" s="91">
        <f t="shared" si="13"/>
        <v>4.601146601146601E-2</v>
      </c>
      <c r="K62" s="263">
        <f t="shared" si="13"/>
        <v>-1.1178707224334601E-2</v>
      </c>
    </row>
    <row r="64" spans="1:11" x14ac:dyDescent="0.3">
      <c r="J64" s="48" t="s">
        <v>286</v>
      </c>
      <c r="K64" s="92">
        <f>AVERAGE(H62:K62)</f>
        <v>0.15785399932894059</v>
      </c>
    </row>
    <row r="65" spans="10:11" x14ac:dyDescent="0.3">
      <c r="J65" s="48" t="s">
        <v>287</v>
      </c>
      <c r="K65" s="92">
        <f>MEDIAN(H62:K62)</f>
        <v>0.10022795522795522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ECF7-8D9B-481E-8C1F-91CCFD9BE510}">
  <dimension ref="B2:O110"/>
  <sheetViews>
    <sheetView showGridLines="0" zoomScaleNormal="100" workbookViewId="0">
      <pane ySplit="5" topLeftCell="A6" activePane="bottomLeft" state="frozen"/>
      <selection pane="bottomLeft" activeCell="D7" sqref="D7"/>
    </sheetView>
  </sheetViews>
  <sheetFormatPr defaultRowHeight="14.4" x14ac:dyDescent="0.3"/>
  <cols>
    <col min="1" max="1" width="1.88671875" customWidth="1"/>
    <col min="2" max="2" width="25.77734375" bestFit="1" customWidth="1"/>
    <col min="3" max="14" width="11.5546875" bestFit="1" customWidth="1"/>
  </cols>
  <sheetData>
    <row r="2" spans="2:14" x14ac:dyDescent="0.3">
      <c r="B2" s="70" t="s">
        <v>438</v>
      </c>
    </row>
    <row r="3" spans="2:14" s="118" customFormat="1" ht="3.6" customHeight="1" x14ac:dyDescent="0.3">
      <c r="B3" s="74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2:14" s="118" customFormat="1" ht="15.6" customHeight="1" x14ac:dyDescent="0.3">
      <c r="B4" s="69" t="s">
        <v>228</v>
      </c>
      <c r="C4" s="73">
        <v>42064</v>
      </c>
      <c r="D4" s="73">
        <v>42430</v>
      </c>
      <c r="E4" s="73">
        <v>42795</v>
      </c>
      <c r="F4" s="73">
        <v>43160</v>
      </c>
      <c r="G4" s="73">
        <v>43525</v>
      </c>
      <c r="H4" s="73">
        <v>43891</v>
      </c>
      <c r="I4" s="73">
        <v>44256</v>
      </c>
      <c r="J4" s="73">
        <v>44621</v>
      </c>
      <c r="K4" s="73">
        <v>44986</v>
      </c>
      <c r="L4" s="73">
        <v>45352</v>
      </c>
      <c r="M4" s="73">
        <v>45717</v>
      </c>
      <c r="N4" s="73">
        <v>46082</v>
      </c>
    </row>
    <row r="5" spans="2:14" s="118" customFormat="1" ht="3.6" customHeight="1" x14ac:dyDescent="0.3">
      <c r="B5" s="74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</row>
    <row r="6" spans="2:14" x14ac:dyDescent="0.3">
      <c r="B6" s="228" t="s">
        <v>474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</row>
    <row r="7" spans="2:14" x14ac:dyDescent="0.3">
      <c r="B7" s="52" t="s">
        <v>198</v>
      </c>
      <c r="C7" s="199">
        <v>572</v>
      </c>
      <c r="D7" s="199">
        <v>1144</v>
      </c>
      <c r="E7" s="199">
        <v>1144</v>
      </c>
      <c r="F7" s="199">
        <v>1088</v>
      </c>
      <c r="G7" s="199">
        <v>2170</v>
      </c>
      <c r="H7" s="199">
        <v>2122</v>
      </c>
      <c r="I7" s="199">
        <v>2124</v>
      </c>
      <c r="J7" s="199">
        <v>2098</v>
      </c>
      <c r="K7" s="199">
        <v>2069</v>
      </c>
      <c r="L7" s="199">
        <v>2071</v>
      </c>
      <c r="M7" s="199">
        <v>2073</v>
      </c>
      <c r="N7" s="199">
        <v>2024</v>
      </c>
    </row>
    <row r="8" spans="2:14" x14ac:dyDescent="0.3">
      <c r="B8" s="52" t="s">
        <v>199</v>
      </c>
      <c r="C8" s="199">
        <v>50164</v>
      </c>
      <c r="D8" s="199">
        <v>60600</v>
      </c>
      <c r="E8" s="199">
        <v>67838</v>
      </c>
      <c r="F8" s="199">
        <v>63835</v>
      </c>
      <c r="G8" s="199">
        <v>62778</v>
      </c>
      <c r="H8" s="199">
        <v>63328</v>
      </c>
      <c r="I8" s="199">
        <v>74227</v>
      </c>
      <c r="J8" s="199">
        <v>73252</v>
      </c>
      <c r="K8" s="199">
        <v>73338</v>
      </c>
      <c r="L8" s="199">
        <v>86045</v>
      </c>
      <c r="M8" s="199">
        <v>93745</v>
      </c>
      <c r="N8" s="199">
        <v>90828</v>
      </c>
    </row>
    <row r="9" spans="2:14" x14ac:dyDescent="0.3">
      <c r="B9" s="52" t="s">
        <v>200</v>
      </c>
      <c r="C9" s="199">
        <v>0</v>
      </c>
      <c r="D9" s="199">
        <v>0</v>
      </c>
      <c r="E9" s="199">
        <v>0</v>
      </c>
      <c r="F9" s="199">
        <v>0</v>
      </c>
      <c r="G9" s="199">
        <v>0</v>
      </c>
      <c r="H9" s="199">
        <v>4633</v>
      </c>
      <c r="I9" s="199">
        <v>5325</v>
      </c>
      <c r="J9" s="199">
        <v>5474</v>
      </c>
      <c r="K9" s="199">
        <v>8299</v>
      </c>
      <c r="L9" s="199">
        <v>8359</v>
      </c>
      <c r="M9" s="199">
        <v>8227</v>
      </c>
      <c r="N9" s="199">
        <v>9176</v>
      </c>
    </row>
    <row r="10" spans="2:14" x14ac:dyDescent="0.3">
      <c r="B10" s="46" t="s">
        <v>201</v>
      </c>
      <c r="C10" s="199">
        <v>0</v>
      </c>
      <c r="D10" s="199">
        <v>0</v>
      </c>
      <c r="E10" s="199">
        <v>0</v>
      </c>
      <c r="F10" s="199">
        <v>0</v>
      </c>
      <c r="G10" s="199">
        <v>0</v>
      </c>
      <c r="H10" s="199">
        <v>4633</v>
      </c>
      <c r="I10" s="199">
        <v>5325</v>
      </c>
      <c r="J10" s="199">
        <v>5474</v>
      </c>
      <c r="K10" s="199">
        <v>8299</v>
      </c>
      <c r="L10" s="199">
        <v>8359</v>
      </c>
      <c r="M10" s="199">
        <v>8227</v>
      </c>
      <c r="N10" s="199">
        <v>9176</v>
      </c>
    </row>
    <row r="11" spans="2:14" x14ac:dyDescent="0.3">
      <c r="B11" s="52" t="s">
        <v>202</v>
      </c>
      <c r="C11" s="199">
        <v>15553</v>
      </c>
      <c r="D11" s="199">
        <v>13354</v>
      </c>
      <c r="E11" s="199">
        <v>14166</v>
      </c>
      <c r="F11" s="199">
        <v>14426</v>
      </c>
      <c r="G11" s="199">
        <v>19118</v>
      </c>
      <c r="H11" s="199">
        <v>21717</v>
      </c>
      <c r="I11" s="199">
        <v>25835</v>
      </c>
      <c r="J11" s="199">
        <v>35905</v>
      </c>
      <c r="K11" s="199">
        <v>40890</v>
      </c>
      <c r="L11" s="199">
        <v>39545</v>
      </c>
      <c r="M11" s="199">
        <v>43750</v>
      </c>
      <c r="N11" s="199">
        <v>52260</v>
      </c>
    </row>
    <row r="12" spans="2:14" x14ac:dyDescent="0.3">
      <c r="B12" s="46" t="s">
        <v>203</v>
      </c>
      <c r="C12" s="199">
        <v>0</v>
      </c>
      <c r="D12" s="199">
        <v>0</v>
      </c>
      <c r="E12" s="199">
        <v>0</v>
      </c>
      <c r="F12" s="199">
        <v>1</v>
      </c>
      <c r="G12" s="199">
        <v>58</v>
      </c>
      <c r="H12" s="199">
        <v>394</v>
      </c>
      <c r="I12" s="199">
        <v>431</v>
      </c>
      <c r="J12" s="199">
        <v>386</v>
      </c>
      <c r="K12" s="199">
        <v>388</v>
      </c>
      <c r="L12" s="199">
        <v>345</v>
      </c>
      <c r="M12" s="199">
        <v>385</v>
      </c>
      <c r="N12" s="199">
        <v>445</v>
      </c>
    </row>
    <row r="13" spans="2:14" x14ac:dyDescent="0.3">
      <c r="B13" s="46" t="s">
        <v>204</v>
      </c>
      <c r="C13" s="199">
        <v>140</v>
      </c>
      <c r="D13" s="199">
        <v>386</v>
      </c>
      <c r="E13" s="199">
        <v>367</v>
      </c>
      <c r="F13" s="199">
        <v>694</v>
      </c>
      <c r="G13" s="199">
        <v>1655</v>
      </c>
      <c r="H13" s="199">
        <v>2852</v>
      </c>
      <c r="I13" s="199">
        <v>2645</v>
      </c>
      <c r="J13" s="199">
        <v>4134</v>
      </c>
      <c r="K13" s="199">
        <v>3865</v>
      </c>
      <c r="L13" s="199">
        <v>3956</v>
      </c>
      <c r="M13" s="199">
        <v>4164</v>
      </c>
      <c r="N13" s="199">
        <v>4744</v>
      </c>
    </row>
    <row r="14" spans="2:14" x14ac:dyDescent="0.3">
      <c r="B14" s="46" t="s">
        <v>205</v>
      </c>
      <c r="C14" s="199">
        <v>27</v>
      </c>
      <c r="D14" s="199">
        <v>28</v>
      </c>
      <c r="E14" s="288">
        <v>0</v>
      </c>
      <c r="F14" s="288">
        <v>0</v>
      </c>
      <c r="G14" s="288">
        <v>0</v>
      </c>
      <c r="H14" s="288">
        <v>0</v>
      </c>
      <c r="I14" s="288">
        <v>0</v>
      </c>
      <c r="J14" s="288">
        <v>0</v>
      </c>
      <c r="K14" s="288">
        <v>0</v>
      </c>
      <c r="L14" s="288">
        <v>0</v>
      </c>
      <c r="M14" s="288">
        <v>0</v>
      </c>
      <c r="N14" s="288">
        <v>0</v>
      </c>
    </row>
    <row r="15" spans="2:14" ht="15" thickBot="1" x14ac:dyDescent="0.35">
      <c r="B15" s="46" t="s">
        <v>206</v>
      </c>
      <c r="C15" s="287">
        <v>15386</v>
      </c>
      <c r="D15" s="287">
        <v>12940</v>
      </c>
      <c r="E15" s="287">
        <v>13799</v>
      </c>
      <c r="F15" s="287">
        <v>13731</v>
      </c>
      <c r="G15" s="287">
        <v>17405</v>
      </c>
      <c r="H15" s="287">
        <v>18471</v>
      </c>
      <c r="I15" s="287">
        <v>22759</v>
      </c>
      <c r="J15" s="287">
        <v>31385</v>
      </c>
      <c r="K15" s="287">
        <v>36637</v>
      </c>
      <c r="L15" s="287">
        <v>35244</v>
      </c>
      <c r="M15" s="287">
        <v>39201</v>
      </c>
      <c r="N15" s="287">
        <v>47071</v>
      </c>
    </row>
    <row r="16" spans="2:14" ht="15" thickBot="1" x14ac:dyDescent="0.35">
      <c r="B16" s="78" t="s">
        <v>207</v>
      </c>
      <c r="C16" s="79">
        <v>66289</v>
      </c>
      <c r="D16" s="79">
        <v>75098</v>
      </c>
      <c r="E16" s="79">
        <v>83148</v>
      </c>
      <c r="F16" s="79">
        <v>79349</v>
      </c>
      <c r="G16" s="79">
        <v>84066</v>
      </c>
      <c r="H16" s="79">
        <v>91800</v>
      </c>
      <c r="I16" s="79">
        <v>107511</v>
      </c>
      <c r="J16" s="79">
        <v>116729</v>
      </c>
      <c r="K16" s="79">
        <v>124596</v>
      </c>
      <c r="L16" s="79">
        <v>136020</v>
      </c>
      <c r="M16" s="79">
        <v>147795</v>
      </c>
      <c r="N16" s="79">
        <v>154288</v>
      </c>
    </row>
    <row r="17" spans="2:14" x14ac:dyDescent="0.3">
      <c r="B17" s="52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8" spans="2:14" x14ac:dyDescent="0.3">
      <c r="B18" s="52" t="s">
        <v>208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 spans="2:14" x14ac:dyDescent="0.3">
      <c r="B19" s="46" t="s">
        <v>209</v>
      </c>
      <c r="C19" s="288">
        <v>1564</v>
      </c>
      <c r="D19" s="288">
        <v>1622</v>
      </c>
      <c r="E19" s="288">
        <v>1095</v>
      </c>
      <c r="F19" s="288">
        <v>1229</v>
      </c>
      <c r="G19" s="288">
        <v>1307</v>
      </c>
      <c r="H19" s="288">
        <v>1950</v>
      </c>
      <c r="I19" s="288">
        <v>2035</v>
      </c>
      <c r="J19" s="288">
        <v>2066</v>
      </c>
      <c r="K19" s="288">
        <v>2054</v>
      </c>
      <c r="L19" s="288">
        <v>2037</v>
      </c>
      <c r="M19" s="288">
        <v>2079</v>
      </c>
      <c r="N19" s="288">
        <v>1990</v>
      </c>
    </row>
    <row r="20" spans="2:14" x14ac:dyDescent="0.3">
      <c r="B20" s="46" t="s">
        <v>210</v>
      </c>
      <c r="C20" s="288">
        <v>6102</v>
      </c>
      <c r="D20" s="288">
        <v>6325</v>
      </c>
      <c r="E20" s="288">
        <v>8419</v>
      </c>
      <c r="F20" s="288">
        <v>9334</v>
      </c>
      <c r="G20" s="288">
        <v>10270</v>
      </c>
      <c r="H20" s="288">
        <v>15104</v>
      </c>
      <c r="I20" s="288">
        <v>16394</v>
      </c>
      <c r="J20" s="288">
        <v>16760</v>
      </c>
      <c r="K20" s="288">
        <v>16903</v>
      </c>
      <c r="L20" s="288">
        <v>16515</v>
      </c>
      <c r="M20" s="288">
        <v>16376</v>
      </c>
      <c r="N20" s="288">
        <v>17193</v>
      </c>
    </row>
    <row r="21" spans="2:14" x14ac:dyDescent="0.3">
      <c r="B21" s="46" t="s">
        <v>211</v>
      </c>
      <c r="C21" s="288">
        <v>1427</v>
      </c>
      <c r="D21" s="288">
        <v>1759</v>
      </c>
      <c r="E21" s="288">
        <v>2048</v>
      </c>
      <c r="F21" s="288">
        <v>2306</v>
      </c>
      <c r="G21" s="288">
        <v>2709</v>
      </c>
      <c r="H21" s="288">
        <v>3185</v>
      </c>
      <c r="I21" s="288">
        <v>3296</v>
      </c>
      <c r="J21" s="288">
        <v>3210</v>
      </c>
      <c r="K21" s="288">
        <v>3302</v>
      </c>
      <c r="L21" s="288">
        <v>3428</v>
      </c>
      <c r="M21" s="288">
        <v>3461</v>
      </c>
      <c r="N21" s="288">
        <v>3714</v>
      </c>
    </row>
    <row r="22" spans="2:14" x14ac:dyDescent="0.3">
      <c r="B22" s="46" t="s">
        <v>212</v>
      </c>
      <c r="C22" s="288">
        <v>676</v>
      </c>
      <c r="D22" s="288">
        <v>839</v>
      </c>
      <c r="E22" s="288">
        <v>922</v>
      </c>
      <c r="F22" s="288">
        <v>1002</v>
      </c>
      <c r="G22" s="288">
        <v>1101</v>
      </c>
      <c r="H22" s="288">
        <v>1265</v>
      </c>
      <c r="I22" s="288">
        <v>1371</v>
      </c>
      <c r="J22" s="288">
        <v>1427</v>
      </c>
      <c r="K22" s="288">
        <v>1482</v>
      </c>
      <c r="L22" s="288">
        <v>1528</v>
      </c>
      <c r="M22" s="288">
        <v>1628</v>
      </c>
      <c r="N22" s="288">
        <v>1732</v>
      </c>
    </row>
    <row r="23" spans="2:14" x14ac:dyDescent="0.3">
      <c r="B23" s="46" t="s">
        <v>213</v>
      </c>
      <c r="C23" s="288">
        <v>3347</v>
      </c>
      <c r="D23" s="288">
        <v>4486</v>
      </c>
      <c r="E23" s="288">
        <v>4945</v>
      </c>
      <c r="F23" s="288">
        <v>4903</v>
      </c>
      <c r="G23" s="288">
        <v>6287</v>
      </c>
      <c r="H23" s="288">
        <v>7423</v>
      </c>
      <c r="I23" s="288">
        <v>8732</v>
      </c>
      <c r="J23" s="288">
        <v>9936</v>
      </c>
      <c r="K23" s="288">
        <v>11898</v>
      </c>
      <c r="L23" s="288">
        <v>12353</v>
      </c>
      <c r="M23" s="288">
        <v>12925</v>
      </c>
      <c r="N23" s="288">
        <v>13600</v>
      </c>
    </row>
    <row r="24" spans="2:14" x14ac:dyDescent="0.3">
      <c r="B24" s="46" t="s">
        <v>214</v>
      </c>
      <c r="C24" s="288">
        <v>958</v>
      </c>
      <c r="D24" s="288">
        <v>1444</v>
      </c>
      <c r="E24" s="288">
        <v>1277</v>
      </c>
      <c r="F24" s="288">
        <v>1393</v>
      </c>
      <c r="G24" s="288">
        <v>1620</v>
      </c>
      <c r="H24" s="288">
        <v>2073</v>
      </c>
      <c r="I24" s="288">
        <v>2149</v>
      </c>
      <c r="J24" s="288">
        <v>2278</v>
      </c>
      <c r="K24" s="288">
        <v>2303</v>
      </c>
      <c r="L24" s="288">
        <v>2326</v>
      </c>
      <c r="M24" s="288">
        <v>2340</v>
      </c>
      <c r="N24" s="288">
        <v>2438</v>
      </c>
    </row>
    <row r="25" spans="2:14" x14ac:dyDescent="0.3">
      <c r="B25" s="46" t="s">
        <v>215</v>
      </c>
      <c r="C25" s="288">
        <v>34</v>
      </c>
      <c r="D25" s="288">
        <v>29</v>
      </c>
      <c r="E25" s="288">
        <v>31</v>
      </c>
      <c r="F25" s="288">
        <v>31</v>
      </c>
      <c r="G25" s="288">
        <v>38</v>
      </c>
      <c r="H25" s="288">
        <v>69</v>
      </c>
      <c r="I25" s="288">
        <v>73</v>
      </c>
      <c r="J25" s="288">
        <v>71</v>
      </c>
      <c r="K25" s="288">
        <v>60</v>
      </c>
      <c r="L25" s="288">
        <v>62</v>
      </c>
      <c r="M25" s="288">
        <v>72</v>
      </c>
      <c r="N25" s="288">
        <v>70</v>
      </c>
    </row>
    <row r="26" spans="2:14" x14ac:dyDescent="0.3">
      <c r="B26" s="46" t="s">
        <v>216</v>
      </c>
      <c r="C26" s="288">
        <v>3637</v>
      </c>
      <c r="D26" s="288">
        <v>3858</v>
      </c>
      <c r="E26" s="288">
        <v>3743</v>
      </c>
      <c r="F26" s="288">
        <v>2237</v>
      </c>
      <c r="G26" s="288">
        <v>3640</v>
      </c>
      <c r="H26" s="288">
        <v>5528</v>
      </c>
      <c r="I26" s="288">
        <v>6373</v>
      </c>
      <c r="J26" s="288">
        <v>6495</v>
      </c>
      <c r="K26" s="288">
        <v>7594</v>
      </c>
      <c r="L26" s="288">
        <v>7652</v>
      </c>
      <c r="M26" s="288">
        <v>10626</v>
      </c>
      <c r="N26" s="288">
        <v>12729</v>
      </c>
    </row>
    <row r="27" spans="2:14" x14ac:dyDescent="0.3">
      <c r="B27" s="46" t="s">
        <v>217</v>
      </c>
      <c r="C27" s="289">
        <v>71</v>
      </c>
      <c r="D27" s="289">
        <v>931</v>
      </c>
      <c r="E27" s="289">
        <v>899</v>
      </c>
      <c r="F27" s="289">
        <v>545</v>
      </c>
      <c r="G27" s="289">
        <v>1093</v>
      </c>
      <c r="H27" s="289">
        <v>2289</v>
      </c>
      <c r="I27" s="289">
        <v>2730</v>
      </c>
      <c r="J27" s="289">
        <v>2766</v>
      </c>
      <c r="K27" s="289">
        <v>3281</v>
      </c>
      <c r="L27" s="289">
        <v>3294</v>
      </c>
      <c r="M27" s="289">
        <v>5184</v>
      </c>
      <c r="N27" s="289">
        <v>6296</v>
      </c>
    </row>
    <row r="28" spans="2:14" x14ac:dyDescent="0.3">
      <c r="B28" s="52" t="s">
        <v>218</v>
      </c>
      <c r="C28" s="290">
        <v>17816</v>
      </c>
      <c r="D28" s="290">
        <v>21293</v>
      </c>
      <c r="E28" s="290">
        <v>23379</v>
      </c>
      <c r="F28" s="290">
        <v>22980</v>
      </c>
      <c r="G28" s="290">
        <v>28065</v>
      </c>
      <c r="H28" s="290">
        <v>38886</v>
      </c>
      <c r="I28" s="290">
        <v>43153</v>
      </c>
      <c r="J28" s="290">
        <v>45009</v>
      </c>
      <c r="K28" s="290">
        <v>48877</v>
      </c>
      <c r="L28" s="290">
        <v>49195</v>
      </c>
      <c r="M28" s="290">
        <v>54691</v>
      </c>
      <c r="N28" s="290">
        <v>59762</v>
      </c>
    </row>
    <row r="29" spans="2:14" ht="15" thickBot="1" x14ac:dyDescent="0.35">
      <c r="B29" s="46" t="s">
        <v>219</v>
      </c>
      <c r="C29" s="291">
        <v>-6470</v>
      </c>
      <c r="D29" s="291">
        <v>-7907</v>
      </c>
      <c r="E29" s="291">
        <v>-9200</v>
      </c>
      <c r="F29" s="291">
        <v>-10406</v>
      </c>
      <c r="G29" s="291">
        <v>-12355</v>
      </c>
      <c r="H29" s="291">
        <v>-15097</v>
      </c>
      <c r="I29" s="291">
        <v>-17648</v>
      </c>
      <c r="J29" s="291">
        <v>-19209</v>
      </c>
      <c r="K29" s="291">
        <v>-19652</v>
      </c>
      <c r="L29" s="291">
        <v>-21573</v>
      </c>
      <c r="M29" s="291">
        <v>-23730</v>
      </c>
      <c r="N29" s="291">
        <v>-25992</v>
      </c>
    </row>
    <row r="30" spans="2:14" s="26" customFormat="1" x14ac:dyDescent="0.3">
      <c r="B30" s="229" t="s">
        <v>229</v>
      </c>
      <c r="C30" s="230">
        <f>C28-C29</f>
        <v>24286</v>
      </c>
      <c r="D30" s="230">
        <f t="shared" ref="D30:N30" si="0">D28-D29</f>
        <v>29200</v>
      </c>
      <c r="E30" s="230">
        <f t="shared" si="0"/>
        <v>32579</v>
      </c>
      <c r="F30" s="230">
        <f t="shared" si="0"/>
        <v>33386</v>
      </c>
      <c r="G30" s="230">
        <f t="shared" si="0"/>
        <v>40420</v>
      </c>
      <c r="H30" s="230">
        <f t="shared" si="0"/>
        <v>53983</v>
      </c>
      <c r="I30" s="230">
        <f t="shared" si="0"/>
        <v>60801</v>
      </c>
      <c r="J30" s="230">
        <f t="shared" si="0"/>
        <v>64218</v>
      </c>
      <c r="K30" s="230">
        <f t="shared" si="0"/>
        <v>68529</v>
      </c>
      <c r="L30" s="230">
        <f t="shared" si="0"/>
        <v>70768</v>
      </c>
      <c r="M30" s="230">
        <f t="shared" si="0"/>
        <v>78421</v>
      </c>
      <c r="N30" s="230">
        <f t="shared" si="0"/>
        <v>85754</v>
      </c>
    </row>
    <row r="31" spans="2:14" x14ac:dyDescent="0.3">
      <c r="B31" s="4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</row>
    <row r="32" spans="2:14" x14ac:dyDescent="0.3">
      <c r="B32" s="52" t="s">
        <v>220</v>
      </c>
      <c r="C32" s="231">
        <v>776</v>
      </c>
      <c r="D32" s="231">
        <v>960</v>
      </c>
      <c r="E32" s="231">
        <v>1365</v>
      </c>
      <c r="F32" s="231">
        <v>1606</v>
      </c>
      <c r="G32" s="231">
        <v>1388</v>
      </c>
      <c r="H32" s="231">
        <v>954</v>
      </c>
      <c r="I32" s="231">
        <v>922</v>
      </c>
      <c r="J32" s="231">
        <v>416</v>
      </c>
      <c r="K32" s="231">
        <v>288</v>
      </c>
      <c r="L32" s="231">
        <v>293</v>
      </c>
      <c r="M32" s="231">
        <v>814</v>
      </c>
      <c r="N32" s="231">
        <v>526</v>
      </c>
    </row>
    <row r="33" spans="2:15" x14ac:dyDescent="0.3">
      <c r="B33" s="52" t="s">
        <v>221</v>
      </c>
      <c r="C33" s="231">
        <v>2270</v>
      </c>
      <c r="D33" s="231">
        <v>1892</v>
      </c>
      <c r="E33" s="231">
        <v>16423</v>
      </c>
      <c r="F33" s="231">
        <v>12163</v>
      </c>
      <c r="G33" s="231">
        <v>11261</v>
      </c>
      <c r="H33" s="231">
        <v>8792</v>
      </c>
      <c r="I33" s="231">
        <v>14205</v>
      </c>
      <c r="J33" s="231">
        <v>20324</v>
      </c>
      <c r="K33" s="231">
        <v>19478</v>
      </c>
      <c r="L33" s="231">
        <v>24623</v>
      </c>
      <c r="M33" s="231">
        <v>23541</v>
      </c>
      <c r="N33" s="231">
        <v>21880</v>
      </c>
    </row>
    <row r="34" spans="2:15" x14ac:dyDescent="0.3">
      <c r="B34" s="5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2:15" x14ac:dyDescent="0.3">
      <c r="B35" s="52" t="s">
        <v>222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</row>
    <row r="36" spans="2:15" x14ac:dyDescent="0.3">
      <c r="B36" s="46" t="s">
        <v>223</v>
      </c>
      <c r="C36" s="232">
        <v>9713</v>
      </c>
      <c r="D36" s="232">
        <v>11330</v>
      </c>
      <c r="E36" s="232">
        <v>12322</v>
      </c>
      <c r="F36" s="232">
        <v>13142</v>
      </c>
      <c r="G36" s="232">
        <v>14827</v>
      </c>
      <c r="H36" s="232">
        <v>18487</v>
      </c>
      <c r="I36" s="232">
        <v>19294</v>
      </c>
      <c r="J36" s="232">
        <v>22698</v>
      </c>
      <c r="K36" s="232">
        <v>25424</v>
      </c>
      <c r="L36" s="232">
        <v>30193</v>
      </c>
      <c r="M36" s="232">
        <v>31158</v>
      </c>
      <c r="N36" s="232">
        <v>35234</v>
      </c>
    </row>
    <row r="37" spans="2:15" x14ac:dyDescent="0.3">
      <c r="B37" s="46" t="s">
        <v>224</v>
      </c>
      <c r="C37" s="232">
        <v>30367</v>
      </c>
      <c r="D37" s="232">
        <v>32697</v>
      </c>
      <c r="E37" s="232">
        <v>22625</v>
      </c>
      <c r="F37" s="232">
        <v>19818</v>
      </c>
      <c r="G37" s="232">
        <v>19568</v>
      </c>
      <c r="H37" s="232">
        <v>18649</v>
      </c>
      <c r="I37" s="232">
        <v>24714</v>
      </c>
      <c r="J37" s="232">
        <v>17472</v>
      </c>
      <c r="K37" s="232">
        <v>12173</v>
      </c>
      <c r="L37" s="232">
        <v>14786</v>
      </c>
      <c r="M37" s="232">
        <v>24455</v>
      </c>
      <c r="N37" s="232">
        <v>22201</v>
      </c>
    </row>
    <row r="38" spans="2:15" x14ac:dyDescent="0.3">
      <c r="B38" s="46" t="s">
        <v>225</v>
      </c>
      <c r="C38" s="232">
        <v>399</v>
      </c>
      <c r="D38" s="232">
        <v>614</v>
      </c>
      <c r="E38" s="232">
        <v>844</v>
      </c>
      <c r="F38" s="232">
        <v>830</v>
      </c>
      <c r="G38" s="232">
        <v>1524</v>
      </c>
      <c r="H38" s="232">
        <v>1359</v>
      </c>
      <c r="I38" s="232">
        <v>1460</v>
      </c>
      <c r="J38" s="232">
        <v>2491</v>
      </c>
      <c r="K38" s="232">
        <v>3242</v>
      </c>
      <c r="L38" s="232">
        <v>10330</v>
      </c>
      <c r="M38" s="232">
        <v>6717</v>
      </c>
      <c r="N38" s="232">
        <v>6808</v>
      </c>
    </row>
    <row r="39" spans="2:15" ht="15" thickBot="1" x14ac:dyDescent="0.35">
      <c r="B39" s="46" t="s">
        <v>226</v>
      </c>
      <c r="C39" s="76">
        <v>11418</v>
      </c>
      <c r="D39" s="76">
        <v>14219</v>
      </c>
      <c r="E39" s="76">
        <v>15390</v>
      </c>
      <c r="F39" s="76">
        <v>19216</v>
      </c>
      <c r="G39" s="76">
        <v>19788</v>
      </c>
      <c r="H39" s="76">
        <v>19770</v>
      </c>
      <c r="I39" s="76">
        <v>21411</v>
      </c>
      <c r="J39" s="76">
        <v>27528</v>
      </c>
      <c r="K39" s="76">
        <v>34766</v>
      </c>
      <c r="L39" s="76">
        <v>28173</v>
      </c>
      <c r="M39" s="76">
        <v>30149</v>
      </c>
      <c r="N39" s="76">
        <v>33869</v>
      </c>
    </row>
    <row r="40" spans="2:15" ht="15" thickBot="1" x14ac:dyDescent="0.35">
      <c r="B40" s="78" t="s">
        <v>227</v>
      </c>
      <c r="C40" s="79">
        <v>66289</v>
      </c>
      <c r="D40" s="79">
        <v>75098</v>
      </c>
      <c r="E40" s="79">
        <v>83148</v>
      </c>
      <c r="F40" s="79">
        <v>79349</v>
      </c>
      <c r="G40" s="79">
        <v>84066</v>
      </c>
      <c r="H40" s="79">
        <v>91800</v>
      </c>
      <c r="I40" s="79">
        <v>107511</v>
      </c>
      <c r="J40" s="79">
        <v>116729</v>
      </c>
      <c r="K40" s="79">
        <v>124596</v>
      </c>
      <c r="L40" s="79">
        <v>136020</v>
      </c>
      <c r="M40" s="79">
        <v>147795</v>
      </c>
      <c r="N40" s="79">
        <v>154288</v>
      </c>
    </row>
    <row r="42" spans="2:15" x14ac:dyDescent="0.3">
      <c r="B42" s="69" t="s">
        <v>251</v>
      </c>
    </row>
    <row r="44" spans="2:15" x14ac:dyDescent="0.3">
      <c r="B44" s="26" t="s">
        <v>244</v>
      </c>
      <c r="C44" s="232">
        <v>14883</v>
      </c>
      <c r="D44" s="232">
        <v>17079</v>
      </c>
      <c r="E44" s="232">
        <v>18604</v>
      </c>
      <c r="F44" s="232">
        <v>18822</v>
      </c>
      <c r="G44" s="232">
        <v>20170</v>
      </c>
      <c r="H44" s="232">
        <v>22267</v>
      </c>
      <c r="I44" s="232">
        <v>27889</v>
      </c>
      <c r="J44" s="232">
        <v>31491</v>
      </c>
      <c r="K44" s="232">
        <v>35130</v>
      </c>
      <c r="L44" s="232">
        <v>36425</v>
      </c>
      <c r="M44" s="232">
        <v>39236</v>
      </c>
      <c r="N44" s="232">
        <v>42280</v>
      </c>
      <c r="O44" s="72"/>
    </row>
    <row r="45" spans="2:15" x14ac:dyDescent="0.3">
      <c r="B45" t="s">
        <v>245</v>
      </c>
      <c r="C45" s="234">
        <v>0.28000000000000003</v>
      </c>
      <c r="D45" s="234">
        <v>0.27</v>
      </c>
      <c r="E45" s="234">
        <v>0.27</v>
      </c>
      <c r="F45" s="234">
        <v>0.27</v>
      </c>
      <c r="G45" s="234">
        <v>0.24</v>
      </c>
      <c r="H45" s="234">
        <v>0.25</v>
      </c>
      <c r="I45" s="234">
        <v>0.28000000000000003</v>
      </c>
      <c r="J45" s="234">
        <v>0.26</v>
      </c>
      <c r="K45" s="234">
        <v>0.24</v>
      </c>
      <c r="L45" s="234">
        <v>0.24</v>
      </c>
      <c r="M45" s="234">
        <v>0.24</v>
      </c>
      <c r="N45" s="234">
        <v>0.24</v>
      </c>
      <c r="O45" s="10"/>
    </row>
    <row r="46" spans="2:15" x14ac:dyDescent="0.3">
      <c r="B46" t="s">
        <v>249</v>
      </c>
      <c r="C46" s="232">
        <v>3430</v>
      </c>
      <c r="D46" s="232">
        <v>3120</v>
      </c>
      <c r="E46" s="232">
        <v>3050</v>
      </c>
      <c r="F46" s="232">
        <v>3311</v>
      </c>
      <c r="G46" s="232">
        <v>2882</v>
      </c>
      <c r="H46" s="232">
        <v>2803</v>
      </c>
      <c r="I46" s="232">
        <v>2201</v>
      </c>
      <c r="J46" s="232">
        <v>2295</v>
      </c>
      <c r="K46" s="232">
        <v>2701</v>
      </c>
      <c r="L46" s="232">
        <v>4711</v>
      </c>
      <c r="M46" s="232">
        <v>3600</v>
      </c>
      <c r="N46" s="232">
        <v>3033</v>
      </c>
      <c r="O46" s="72"/>
    </row>
    <row r="47" spans="2:15" x14ac:dyDescent="0.3">
      <c r="B47" t="s">
        <v>246</v>
      </c>
      <c r="C47" s="232">
        <v>12</v>
      </c>
      <c r="D47" s="232">
        <v>0</v>
      </c>
      <c r="E47" s="232">
        <v>0</v>
      </c>
      <c r="F47" s="232">
        <v>0</v>
      </c>
      <c r="G47" s="232">
        <v>0</v>
      </c>
      <c r="H47" s="232">
        <v>170</v>
      </c>
      <c r="I47" s="232">
        <v>195</v>
      </c>
      <c r="J47" s="232">
        <v>200</v>
      </c>
      <c r="K47" s="232">
        <v>284</v>
      </c>
      <c r="L47" s="232">
        <v>470</v>
      </c>
      <c r="M47" s="232">
        <v>416</v>
      </c>
      <c r="N47" s="232">
        <v>416</v>
      </c>
    </row>
    <row r="48" spans="2:15" x14ac:dyDescent="0.3">
      <c r="B48" t="s">
        <v>247</v>
      </c>
      <c r="C48" s="232">
        <v>1017</v>
      </c>
      <c r="D48" s="232">
        <v>1459</v>
      </c>
      <c r="E48" s="232">
        <v>1703</v>
      </c>
      <c r="F48" s="232">
        <v>1863</v>
      </c>
      <c r="G48" s="232">
        <v>2011</v>
      </c>
      <c r="H48" s="232">
        <v>2893</v>
      </c>
      <c r="I48" s="232">
        <v>3267</v>
      </c>
      <c r="J48" s="232">
        <v>3476</v>
      </c>
      <c r="K48" s="232">
        <v>4225</v>
      </c>
      <c r="L48" s="232">
        <v>4678</v>
      </c>
      <c r="M48" s="232">
        <v>4812</v>
      </c>
      <c r="N48" s="232">
        <v>4902</v>
      </c>
      <c r="O48" s="72"/>
    </row>
    <row r="49" spans="2:15" ht="15" thickBot="1" x14ac:dyDescent="0.35">
      <c r="B49" s="26" t="s">
        <v>248</v>
      </c>
      <c r="C49" s="233">
        <v>17284</v>
      </c>
      <c r="D49" s="233">
        <v>18740</v>
      </c>
      <c r="E49" s="233">
        <v>19951</v>
      </c>
      <c r="F49" s="233">
        <v>20270</v>
      </c>
      <c r="G49" s="233">
        <v>21041</v>
      </c>
      <c r="H49" s="233">
        <v>22007</v>
      </c>
      <c r="I49" s="233">
        <v>26628</v>
      </c>
      <c r="J49" s="233">
        <v>30110</v>
      </c>
      <c r="K49" s="233">
        <v>33322</v>
      </c>
      <c r="L49" s="233">
        <v>35988</v>
      </c>
      <c r="M49" s="233">
        <v>37608</v>
      </c>
      <c r="N49" s="233">
        <v>39995</v>
      </c>
      <c r="O49" s="72"/>
    </row>
    <row r="50" spans="2:15" ht="15" thickBot="1" x14ac:dyDescent="0.35">
      <c r="B50" s="87" t="s">
        <v>250</v>
      </c>
      <c r="C50" s="292">
        <f>C44-C48</f>
        <v>13866</v>
      </c>
      <c r="D50" s="292">
        <f t="shared" ref="D50:N50" si="1">D44-D48</f>
        <v>15620</v>
      </c>
      <c r="E50" s="292">
        <f t="shared" si="1"/>
        <v>16901</v>
      </c>
      <c r="F50" s="292">
        <f t="shared" si="1"/>
        <v>16959</v>
      </c>
      <c r="G50" s="292">
        <f t="shared" si="1"/>
        <v>18159</v>
      </c>
      <c r="H50" s="292">
        <f t="shared" si="1"/>
        <v>19374</v>
      </c>
      <c r="I50" s="292">
        <f t="shared" si="1"/>
        <v>24622</v>
      </c>
      <c r="J50" s="292">
        <f t="shared" si="1"/>
        <v>28015</v>
      </c>
      <c r="K50" s="292">
        <f t="shared" si="1"/>
        <v>30905</v>
      </c>
      <c r="L50" s="292">
        <f t="shared" si="1"/>
        <v>31747</v>
      </c>
      <c r="M50" s="292">
        <f t="shared" si="1"/>
        <v>34424</v>
      </c>
      <c r="N50" s="292">
        <f t="shared" si="1"/>
        <v>37378</v>
      </c>
      <c r="O50" s="72"/>
    </row>
    <row r="53" spans="2:15" x14ac:dyDescent="0.3">
      <c r="B53" s="70" t="s">
        <v>280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</row>
    <row r="54" spans="2:15" x14ac:dyDescent="0.3">
      <c r="B54" s="26" t="s">
        <v>255</v>
      </c>
      <c r="C54" s="232">
        <v>8353</v>
      </c>
      <c r="D54" s="232">
        <v>10028</v>
      </c>
      <c r="E54" s="232">
        <v>11531</v>
      </c>
      <c r="F54" s="232">
        <v>13218</v>
      </c>
      <c r="G54" s="232">
        <v>14841</v>
      </c>
      <c r="H54" s="232">
        <v>17003</v>
      </c>
      <c r="I54" s="232">
        <v>23224</v>
      </c>
      <c r="J54" s="232">
        <v>23885</v>
      </c>
      <c r="K54" s="232">
        <v>22467</v>
      </c>
      <c r="L54" s="232">
        <v>25210</v>
      </c>
      <c r="M54" s="232">
        <v>35694</v>
      </c>
      <c r="N54" s="232">
        <v>33986</v>
      </c>
    </row>
    <row r="55" spans="2:15" x14ac:dyDescent="0.3">
      <c r="B55" t="s">
        <v>256</v>
      </c>
      <c r="C55" s="232">
        <v>15946</v>
      </c>
      <c r="D55" s="232">
        <v>17839</v>
      </c>
      <c r="E55" s="232">
        <v>19340</v>
      </c>
      <c r="F55" s="232">
        <v>19963</v>
      </c>
      <c r="G55" s="232">
        <v>22126</v>
      </c>
      <c r="H55" s="232">
        <v>23920</v>
      </c>
      <c r="I55" s="232">
        <v>28845</v>
      </c>
      <c r="J55" s="232">
        <v>32921</v>
      </c>
      <c r="K55" s="232">
        <v>37605</v>
      </c>
      <c r="L55" s="232">
        <v>39523</v>
      </c>
      <c r="M55" s="232">
        <v>41591</v>
      </c>
      <c r="N55" s="232">
        <v>45273</v>
      </c>
    </row>
    <row r="56" spans="2:15" x14ac:dyDescent="0.3">
      <c r="B56" t="s">
        <v>257</v>
      </c>
      <c r="C56" s="232">
        <v>-1475</v>
      </c>
      <c r="D56" s="232">
        <v>-1654</v>
      </c>
      <c r="E56" s="232">
        <v>-1743</v>
      </c>
      <c r="F56" s="232">
        <v>-1523</v>
      </c>
      <c r="G56" s="232">
        <v>-2881</v>
      </c>
      <c r="H56" s="232">
        <v>-3861</v>
      </c>
      <c r="I56" s="232">
        <v>-1835</v>
      </c>
      <c r="J56" s="232">
        <v>-7937</v>
      </c>
      <c r="K56" s="232">
        <v>-7076</v>
      </c>
      <c r="L56" s="232">
        <v>-2667</v>
      </c>
      <c r="M56" s="232">
        <v>-1769</v>
      </c>
      <c r="N56" s="232">
        <v>-5177</v>
      </c>
    </row>
    <row r="57" spans="2:15" x14ac:dyDescent="0.3">
      <c r="B57" t="s">
        <v>258</v>
      </c>
      <c r="C57" s="232">
        <v>0</v>
      </c>
      <c r="D57" s="232">
        <v>242</v>
      </c>
      <c r="E57" s="232">
        <v>-19</v>
      </c>
      <c r="F57" s="232">
        <v>328</v>
      </c>
      <c r="G57" s="232">
        <v>916</v>
      </c>
      <c r="H57" s="232">
        <v>-373</v>
      </c>
      <c r="I57" s="232">
        <v>-245</v>
      </c>
      <c r="J57" s="232">
        <v>1489</v>
      </c>
      <c r="K57" s="232">
        <v>-279</v>
      </c>
      <c r="L57" s="232">
        <v>91</v>
      </c>
      <c r="M57" s="232">
        <v>176</v>
      </c>
      <c r="N57" s="232">
        <v>-26</v>
      </c>
    </row>
    <row r="58" spans="2:15" x14ac:dyDescent="0.3">
      <c r="B58" t="s">
        <v>259</v>
      </c>
      <c r="C58" s="232">
        <v>-221</v>
      </c>
      <c r="D58" s="232">
        <v>-1134</v>
      </c>
      <c r="E58" s="232">
        <v>0</v>
      </c>
      <c r="F58" s="232">
        <v>0</v>
      </c>
      <c r="G58" s="232">
        <v>0</v>
      </c>
      <c r="H58" s="232">
        <v>0</v>
      </c>
      <c r="I58" s="232">
        <v>-534</v>
      </c>
      <c r="J58" s="232">
        <v>-1914</v>
      </c>
      <c r="K58" s="232">
        <v>-3108</v>
      </c>
      <c r="L58" s="232">
        <v>-1172</v>
      </c>
      <c r="M58" s="232">
        <v>-1024</v>
      </c>
      <c r="N58" s="232">
        <v>-2645</v>
      </c>
    </row>
    <row r="59" spans="2:15" x14ac:dyDescent="0.3">
      <c r="B59" t="s">
        <v>260</v>
      </c>
      <c r="C59" s="232">
        <v>854</v>
      </c>
      <c r="D59" s="232">
        <v>600</v>
      </c>
      <c r="E59" s="232">
        <v>-394</v>
      </c>
      <c r="F59" s="232">
        <v>1279</v>
      </c>
      <c r="G59" s="232">
        <v>1512</v>
      </c>
      <c r="H59" s="232">
        <v>1867</v>
      </c>
      <c r="I59" s="232">
        <v>3382</v>
      </c>
      <c r="J59" s="232">
        <v>6938</v>
      </c>
      <c r="K59" s="232">
        <v>4119</v>
      </c>
      <c r="L59" s="232">
        <v>-1334</v>
      </c>
      <c r="M59" s="232">
        <v>2322</v>
      </c>
      <c r="N59" s="232">
        <v>5209</v>
      </c>
    </row>
    <row r="60" spans="2:15" x14ac:dyDescent="0.3">
      <c r="B60" t="s">
        <v>261</v>
      </c>
      <c r="C60" s="232">
        <v>-842</v>
      </c>
      <c r="D60" s="232">
        <v>-1946</v>
      </c>
      <c r="E60" s="232">
        <v>-2156</v>
      </c>
      <c r="F60" s="232">
        <v>84</v>
      </c>
      <c r="G60" s="232">
        <v>-453</v>
      </c>
      <c r="H60" s="232">
        <v>-2367</v>
      </c>
      <c r="I60" s="232">
        <v>768</v>
      </c>
      <c r="J60" s="232">
        <v>-1424</v>
      </c>
      <c r="K60" s="232">
        <v>-6344</v>
      </c>
      <c r="L60" s="232">
        <v>-5082</v>
      </c>
      <c r="M60" s="232">
        <v>-295</v>
      </c>
      <c r="N60" s="232">
        <v>-2639</v>
      </c>
    </row>
    <row r="61" spans="2:15" x14ac:dyDescent="0.3">
      <c r="B61" t="s">
        <v>262</v>
      </c>
      <c r="C61" s="232">
        <v>-6751</v>
      </c>
      <c r="D61" s="232">
        <v>-5865</v>
      </c>
      <c r="E61" s="232">
        <v>-5653</v>
      </c>
      <c r="F61" s="232">
        <v>-6829</v>
      </c>
      <c r="G61" s="232">
        <v>-6832</v>
      </c>
      <c r="H61" s="232">
        <v>-4550</v>
      </c>
      <c r="I61" s="232">
        <v>-6389</v>
      </c>
      <c r="J61" s="232">
        <v>-7612</v>
      </c>
      <c r="K61" s="232">
        <v>-8794</v>
      </c>
      <c r="L61" s="232">
        <v>-9231</v>
      </c>
      <c r="M61" s="232">
        <v>-5602</v>
      </c>
      <c r="N61" s="232">
        <v>-8648</v>
      </c>
    </row>
    <row r="62" spans="2:15" x14ac:dyDescent="0.3">
      <c r="B62" s="26" t="s">
        <v>263</v>
      </c>
      <c r="C62" s="232">
        <v>999</v>
      </c>
      <c r="D62" s="232">
        <v>-885</v>
      </c>
      <c r="E62" s="232">
        <v>-14664</v>
      </c>
      <c r="F62" s="232">
        <v>4533</v>
      </c>
      <c r="G62" s="232">
        <v>-632</v>
      </c>
      <c r="H62" s="232">
        <v>-331</v>
      </c>
      <c r="I62" s="232">
        <v>-7373</v>
      </c>
      <c r="J62" s="232">
        <v>-6485</v>
      </c>
      <c r="K62" s="232">
        <v>-1071</v>
      </c>
      <c r="L62" s="232">
        <v>-5093</v>
      </c>
      <c r="M62" s="232">
        <v>-1864</v>
      </c>
      <c r="N62" s="232">
        <v>3546</v>
      </c>
    </row>
    <row r="63" spans="2:15" x14ac:dyDescent="0.3">
      <c r="B63" t="s">
        <v>264</v>
      </c>
      <c r="C63" s="232">
        <v>-2247</v>
      </c>
      <c r="D63" s="232">
        <v>-2723</v>
      </c>
      <c r="E63" s="232">
        <v>-2760</v>
      </c>
      <c r="F63" s="232">
        <v>-1998</v>
      </c>
      <c r="G63" s="232">
        <v>-2445</v>
      </c>
      <c r="H63" s="232">
        <v>-3307</v>
      </c>
      <c r="I63" s="232">
        <v>-2107</v>
      </c>
      <c r="J63" s="232">
        <v>-2161</v>
      </c>
      <c r="K63" s="232">
        <v>-2579</v>
      </c>
      <c r="L63" s="232">
        <v>-2201</v>
      </c>
      <c r="M63" s="232">
        <v>-2237</v>
      </c>
      <c r="N63" s="232">
        <v>-2727</v>
      </c>
    </row>
    <row r="64" spans="2:15" x14ac:dyDescent="0.3">
      <c r="B64" t="s">
        <v>265</v>
      </c>
      <c r="C64" s="232">
        <v>-23923</v>
      </c>
      <c r="D64" s="232">
        <v>-24577</v>
      </c>
      <c r="E64" s="232">
        <v>-66410</v>
      </c>
      <c r="F64" s="232">
        <v>-69159</v>
      </c>
      <c r="G64" s="232">
        <v>-79410</v>
      </c>
      <c r="H64" s="232">
        <v>-37482</v>
      </c>
      <c r="I64" s="232">
        <v>-46738</v>
      </c>
      <c r="J64" s="232">
        <v>-59951</v>
      </c>
      <c r="K64" s="232">
        <v>-75800</v>
      </c>
      <c r="L64" s="232">
        <v>-78092</v>
      </c>
      <c r="M64" s="232">
        <v>-82742</v>
      </c>
      <c r="N64" s="232">
        <v>-82617</v>
      </c>
    </row>
    <row r="65" spans="2:14" x14ac:dyDescent="0.3">
      <c r="B65" t="s">
        <v>266</v>
      </c>
      <c r="C65" s="232">
        <v>25253</v>
      </c>
      <c r="D65" s="232">
        <v>24980</v>
      </c>
      <c r="E65" s="232">
        <v>52048</v>
      </c>
      <c r="F65" s="232">
        <v>74003</v>
      </c>
      <c r="G65" s="232">
        <v>78098</v>
      </c>
      <c r="H65" s="232">
        <v>38861</v>
      </c>
      <c r="I65" s="232">
        <v>40381</v>
      </c>
      <c r="J65" s="232">
        <v>57356</v>
      </c>
      <c r="K65" s="232">
        <v>76722</v>
      </c>
      <c r="L65" s="232">
        <v>72930</v>
      </c>
      <c r="M65" s="232">
        <v>84877</v>
      </c>
      <c r="N65" s="232">
        <v>89699</v>
      </c>
    </row>
    <row r="66" spans="2:14" x14ac:dyDescent="0.3">
      <c r="B66" t="s">
        <v>267</v>
      </c>
      <c r="C66" s="232">
        <v>2551</v>
      </c>
      <c r="D66" s="232">
        <v>2383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</row>
    <row r="67" spans="2:14" x14ac:dyDescent="0.3">
      <c r="B67" t="s">
        <v>268</v>
      </c>
      <c r="C67" s="232">
        <v>0</v>
      </c>
      <c r="D67" s="232">
        <v>0</v>
      </c>
      <c r="E67" s="232">
        <v>2753</v>
      </c>
      <c r="F67" s="232">
        <v>1768</v>
      </c>
      <c r="G67" s="232">
        <v>1557</v>
      </c>
      <c r="H67" s="232">
        <v>1929</v>
      </c>
      <c r="I67" s="232">
        <v>1418</v>
      </c>
      <c r="J67" s="232">
        <v>1898</v>
      </c>
      <c r="K67" s="232">
        <v>1525</v>
      </c>
      <c r="L67" s="232">
        <v>1768</v>
      </c>
      <c r="M67" s="232">
        <v>2040</v>
      </c>
      <c r="N67" s="232">
        <v>2713</v>
      </c>
    </row>
    <row r="68" spans="2:14" x14ac:dyDescent="0.3">
      <c r="B68" t="s">
        <v>269</v>
      </c>
      <c r="C68" s="232">
        <v>-1376</v>
      </c>
      <c r="D68" s="232">
        <v>-747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</row>
    <row r="69" spans="2:14" x14ac:dyDescent="0.3">
      <c r="B69" t="s">
        <v>270</v>
      </c>
      <c r="C69" s="288">
        <v>0</v>
      </c>
      <c r="D69" s="288">
        <v>-142</v>
      </c>
      <c r="E69" s="288">
        <v>-164</v>
      </c>
      <c r="F69" s="288">
        <v>-130</v>
      </c>
      <c r="G69" s="288">
        <v>-24</v>
      </c>
      <c r="H69" s="288">
        <v>-108</v>
      </c>
      <c r="I69" s="288">
        <v>0</v>
      </c>
      <c r="J69" s="288">
        <v>0</v>
      </c>
      <c r="K69" s="288">
        <v>0</v>
      </c>
      <c r="L69" s="288">
        <v>0</v>
      </c>
      <c r="M69" s="288">
        <v>0</v>
      </c>
      <c r="N69" s="288">
        <v>0</v>
      </c>
    </row>
    <row r="70" spans="2:14" x14ac:dyDescent="0.3">
      <c r="B70" t="s">
        <v>271</v>
      </c>
      <c r="C70" s="288">
        <v>741</v>
      </c>
      <c r="D70" s="288">
        <v>-59</v>
      </c>
      <c r="E70" s="288">
        <v>-131</v>
      </c>
      <c r="F70" s="288">
        <v>49</v>
      </c>
      <c r="G70" s="288">
        <v>1592</v>
      </c>
      <c r="H70" s="288">
        <v>-224</v>
      </c>
      <c r="I70" s="288">
        <v>-327</v>
      </c>
      <c r="J70" s="288">
        <v>-3627</v>
      </c>
      <c r="K70" s="288">
        <v>-939</v>
      </c>
      <c r="L70" s="288">
        <v>502</v>
      </c>
      <c r="M70" s="288">
        <v>-3802</v>
      </c>
      <c r="N70" s="288">
        <v>-3522</v>
      </c>
    </row>
    <row r="71" spans="2:14" x14ac:dyDescent="0.3">
      <c r="B71" s="26" t="s">
        <v>272</v>
      </c>
      <c r="C71" s="288">
        <v>-4935</v>
      </c>
      <c r="D71" s="288">
        <v>-6813</v>
      </c>
      <c r="E71" s="288">
        <v>-6939</v>
      </c>
      <c r="F71" s="288">
        <v>-20505</v>
      </c>
      <c r="G71" s="288">
        <v>-14512</v>
      </c>
      <c r="H71" s="288">
        <v>-17591</v>
      </c>
      <c r="I71" s="288">
        <v>-9786</v>
      </c>
      <c r="J71" s="288">
        <v>-24642</v>
      </c>
      <c r="K71" s="288">
        <v>-26695</v>
      </c>
      <c r="L71" s="288">
        <v>-17504</v>
      </c>
      <c r="M71" s="288">
        <v>-24161</v>
      </c>
      <c r="N71" s="288">
        <v>-39786</v>
      </c>
    </row>
    <row r="72" spans="2:14" x14ac:dyDescent="0.3">
      <c r="B72" t="s">
        <v>273</v>
      </c>
      <c r="C72" s="288">
        <v>0</v>
      </c>
      <c r="D72" s="288">
        <v>0</v>
      </c>
      <c r="E72" s="288">
        <v>0</v>
      </c>
      <c r="F72" s="288">
        <v>5</v>
      </c>
      <c r="G72" s="288">
        <v>6</v>
      </c>
      <c r="H72" s="288">
        <v>6</v>
      </c>
      <c r="I72" s="288">
        <v>15</v>
      </c>
      <c r="J72" s="288">
        <v>21</v>
      </c>
      <c r="K72" s="288">
        <v>35</v>
      </c>
      <c r="L72" s="288">
        <v>5</v>
      </c>
      <c r="M72" s="288">
        <v>6</v>
      </c>
      <c r="N72" s="288">
        <v>2</v>
      </c>
    </row>
    <row r="73" spans="2:14" x14ac:dyDescent="0.3">
      <c r="B73" t="s">
        <v>274</v>
      </c>
      <c r="C73" s="288">
        <v>0</v>
      </c>
      <c r="D73" s="288">
        <v>0</v>
      </c>
      <c r="E73" s="288">
        <v>0</v>
      </c>
      <c r="F73" s="288">
        <v>0</v>
      </c>
      <c r="G73" s="288">
        <v>0</v>
      </c>
      <c r="H73" s="288">
        <v>0</v>
      </c>
      <c r="I73" s="288">
        <v>0</v>
      </c>
      <c r="J73" s="288">
        <v>0</v>
      </c>
      <c r="K73" s="288">
        <v>0</v>
      </c>
      <c r="L73" s="288">
        <v>0</v>
      </c>
      <c r="M73" s="288">
        <v>-985</v>
      </c>
      <c r="N73" s="288">
        <v>0</v>
      </c>
    </row>
    <row r="74" spans="2:14" x14ac:dyDescent="0.3">
      <c r="B74" t="s">
        <v>275</v>
      </c>
      <c r="C74" s="288">
        <v>-4935</v>
      </c>
      <c r="D74" s="288">
        <v>-6813</v>
      </c>
      <c r="E74" s="288">
        <v>-6939</v>
      </c>
      <c r="F74" s="288">
        <v>-7464</v>
      </c>
      <c r="G74" s="288">
        <v>-13705</v>
      </c>
      <c r="H74" s="288">
        <v>-9548</v>
      </c>
      <c r="I74" s="288">
        <v>-9137</v>
      </c>
      <c r="J74" s="288">
        <v>-12731</v>
      </c>
      <c r="K74" s="288">
        <v>-13653</v>
      </c>
      <c r="L74" s="288">
        <v>-14731</v>
      </c>
      <c r="M74" s="288">
        <v>-20289</v>
      </c>
      <c r="N74" s="288">
        <v>-18656</v>
      </c>
    </row>
    <row r="75" spans="2:14" x14ac:dyDescent="0.3">
      <c r="B75" t="s">
        <v>276</v>
      </c>
      <c r="C75" s="288">
        <v>0</v>
      </c>
      <c r="D75" s="288">
        <v>0</v>
      </c>
      <c r="E75" s="288">
        <v>0</v>
      </c>
      <c r="F75" s="288">
        <v>0</v>
      </c>
      <c r="G75" s="288">
        <v>0</v>
      </c>
      <c r="H75" s="288">
        <v>-571</v>
      </c>
      <c r="I75" s="288">
        <v>-698</v>
      </c>
      <c r="J75" s="288">
        <v>-915</v>
      </c>
      <c r="K75" s="288">
        <v>-1231</v>
      </c>
      <c r="L75" s="288">
        <v>-2024</v>
      </c>
      <c r="M75" s="288">
        <v>-2355</v>
      </c>
      <c r="N75" s="288">
        <v>-2824</v>
      </c>
    </row>
    <row r="76" spans="2:14" x14ac:dyDescent="0.3">
      <c r="B76" t="s">
        <v>277</v>
      </c>
      <c r="C76" s="288">
        <v>0</v>
      </c>
      <c r="D76" s="288">
        <v>0</v>
      </c>
      <c r="E76" s="288">
        <v>0</v>
      </c>
      <c r="F76" s="288">
        <v>-13046</v>
      </c>
      <c r="G76" s="288">
        <v>-813</v>
      </c>
      <c r="H76" s="288">
        <v>-7478</v>
      </c>
      <c r="I76" s="288">
        <v>34</v>
      </c>
      <c r="J76" s="288">
        <v>-11017</v>
      </c>
      <c r="K76" s="288">
        <v>-11846</v>
      </c>
      <c r="L76" s="288">
        <v>-754</v>
      </c>
      <c r="M76" s="288">
        <v>-538</v>
      </c>
      <c r="N76" s="288">
        <v>-18308</v>
      </c>
    </row>
    <row r="77" spans="2:14" x14ac:dyDescent="0.3">
      <c r="B77" s="26" t="s">
        <v>278</v>
      </c>
      <c r="C77" s="288">
        <v>4417</v>
      </c>
      <c r="D77" s="288">
        <v>2330</v>
      </c>
      <c r="E77" s="288">
        <v>-10072</v>
      </c>
      <c r="F77" s="288">
        <v>-2754</v>
      </c>
      <c r="G77" s="288">
        <v>-303</v>
      </c>
      <c r="H77" s="288">
        <v>-919</v>
      </c>
      <c r="I77" s="288">
        <v>6065</v>
      </c>
      <c r="J77" s="288">
        <v>-7242</v>
      </c>
      <c r="K77" s="288">
        <v>-5299</v>
      </c>
      <c r="L77" s="288">
        <v>2613</v>
      </c>
      <c r="M77" s="288">
        <v>9669</v>
      </c>
      <c r="N77" s="288">
        <v>-2254</v>
      </c>
    </row>
    <row r="78" spans="2:14" x14ac:dyDescent="0.3">
      <c r="B78" t="s">
        <v>279</v>
      </c>
      <c r="C78" s="288">
        <v>6106</v>
      </c>
      <c r="D78" s="288">
        <v>7305</v>
      </c>
      <c r="E78" s="288">
        <v>8771</v>
      </c>
      <c r="F78" s="288">
        <v>11220</v>
      </c>
      <c r="G78" s="288">
        <v>12396</v>
      </c>
      <c r="H78" s="288">
        <v>13696</v>
      </c>
      <c r="I78" s="288">
        <v>21117</v>
      </c>
      <c r="J78" s="288">
        <v>21724</v>
      </c>
      <c r="K78" s="288">
        <v>19888</v>
      </c>
      <c r="L78" s="288">
        <v>23009</v>
      </c>
      <c r="M78" s="288">
        <v>33457</v>
      </c>
      <c r="N78" s="288">
        <v>31259</v>
      </c>
    </row>
    <row r="79" spans="2:14" ht="3.6" customHeight="1" x14ac:dyDescent="0.3"/>
    <row r="80" spans="2:14" x14ac:dyDescent="0.3">
      <c r="B80" s="259" t="s">
        <v>496</v>
      </c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</row>
    <row r="81" spans="3:14" x14ac:dyDescent="0.3"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</row>
    <row r="82" spans="3:14" x14ac:dyDescent="0.3"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</row>
    <row r="83" spans="3:14" x14ac:dyDescent="0.3">
      <c r="H83" s="72"/>
      <c r="I83" s="72"/>
      <c r="J83" s="72"/>
      <c r="K83" s="72"/>
      <c r="L83" s="72"/>
      <c r="M83" s="72"/>
      <c r="N83" s="72"/>
    </row>
    <row r="84" spans="3:14" x14ac:dyDescent="0.3">
      <c r="H84" s="72"/>
      <c r="I84" s="72"/>
      <c r="J84" s="72"/>
      <c r="K84" s="72"/>
      <c r="L84" s="72"/>
      <c r="M84" s="72"/>
      <c r="N84" s="72"/>
    </row>
    <row r="85" spans="3:14" x14ac:dyDescent="0.3"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</row>
    <row r="87" spans="3:14" x14ac:dyDescent="0.3">
      <c r="G87" s="72"/>
      <c r="H87" s="72"/>
      <c r="I87" s="72"/>
      <c r="J87" s="72"/>
      <c r="K87" s="72"/>
      <c r="L87" s="72"/>
      <c r="M87" s="72"/>
      <c r="N87" s="72"/>
    </row>
    <row r="89" spans="3:14" x14ac:dyDescent="0.3"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</row>
    <row r="90" spans="3:14" x14ac:dyDescent="0.3"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</row>
    <row r="91" spans="3:14" x14ac:dyDescent="0.3"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3:14" x14ac:dyDescent="0.3"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</row>
    <row r="93" spans="3:14" x14ac:dyDescent="0.3"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</row>
    <row r="94" spans="3:14" x14ac:dyDescent="0.3"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</row>
    <row r="95" spans="3:14" x14ac:dyDescent="0.3">
      <c r="F95" s="72"/>
      <c r="G95" s="72"/>
      <c r="H95" s="72"/>
      <c r="I95" s="72"/>
      <c r="J95" s="72"/>
      <c r="K95" s="72"/>
      <c r="L95" s="72"/>
      <c r="M95" s="72"/>
      <c r="N95" s="72"/>
    </row>
    <row r="96" spans="3:14" x14ac:dyDescent="0.3"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</row>
    <row r="97" spans="3:14" x14ac:dyDescent="0.3"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</row>
    <row r="99" spans="3:14" x14ac:dyDescent="0.3"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</row>
    <row r="100" spans="3:14" x14ac:dyDescent="0.3">
      <c r="G100" s="72"/>
      <c r="H100" s="72"/>
      <c r="I100" s="72"/>
      <c r="J100" s="72"/>
      <c r="K100" s="72"/>
      <c r="L100" s="72"/>
      <c r="M100" s="72"/>
      <c r="N100" s="72"/>
    </row>
    <row r="101" spans="3:14" x14ac:dyDescent="0.3"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</row>
    <row r="102" spans="3:14" x14ac:dyDescent="0.3"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</row>
    <row r="103" spans="3:14" x14ac:dyDescent="0.3">
      <c r="E103" s="72"/>
      <c r="F103" s="72"/>
      <c r="G103" s="72"/>
    </row>
    <row r="104" spans="3:14" x14ac:dyDescent="0.3"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</row>
    <row r="105" spans="3:14" x14ac:dyDescent="0.3"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</row>
    <row r="106" spans="3:14" x14ac:dyDescent="0.3"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</row>
    <row r="107" spans="3:14" x14ac:dyDescent="0.3"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</row>
    <row r="108" spans="3:14" x14ac:dyDescent="0.3">
      <c r="G108" s="72"/>
      <c r="H108" s="72"/>
      <c r="I108" s="72"/>
      <c r="J108" s="72"/>
      <c r="K108" s="72"/>
      <c r="L108" s="72"/>
      <c r="M108" s="72"/>
      <c r="N108" s="72"/>
    </row>
    <row r="109" spans="3:14" x14ac:dyDescent="0.3"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</row>
    <row r="110" spans="3:14" x14ac:dyDescent="0.3"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BDAB-F132-478C-A1D2-B06AF6EBEE45}">
  <sheetPr>
    <tabColor theme="7" tint="0.79998168889431442"/>
  </sheetPr>
  <dimension ref="J2:O16"/>
  <sheetViews>
    <sheetView showGridLines="0" workbookViewId="0">
      <selection activeCell="G23" sqref="G23"/>
    </sheetView>
  </sheetViews>
  <sheetFormatPr defaultRowHeight="14.4" x14ac:dyDescent="0.3"/>
  <cols>
    <col min="1" max="1" width="1.88671875" customWidth="1"/>
    <col min="10" max="10" width="13.5546875" customWidth="1"/>
    <col min="11" max="11" width="12" customWidth="1"/>
    <col min="13" max="13" width="8" customWidth="1"/>
    <col min="14" max="14" width="10.5546875" customWidth="1"/>
  </cols>
  <sheetData>
    <row r="2" spans="10:15" x14ac:dyDescent="0.3">
      <c r="K2" s="70" t="s">
        <v>324</v>
      </c>
      <c r="L2" s="70"/>
      <c r="M2" s="70"/>
      <c r="N2" s="70"/>
      <c r="O2" s="70"/>
    </row>
    <row r="3" spans="10:15" x14ac:dyDescent="0.3">
      <c r="L3" s="117" t="s">
        <v>317</v>
      </c>
      <c r="M3" s="117" t="s">
        <v>318</v>
      </c>
      <c r="N3" s="117" t="s">
        <v>319</v>
      </c>
      <c r="O3" s="117" t="s">
        <v>320</v>
      </c>
    </row>
    <row r="4" spans="10:15" x14ac:dyDescent="0.3">
      <c r="J4" s="16"/>
      <c r="K4" s="116" t="s">
        <v>314</v>
      </c>
      <c r="L4" s="295">
        <f>M4</f>
        <v>2083.3277014178088</v>
      </c>
      <c r="M4" s="295">
        <f>'Comps Value'!O33</f>
        <v>2083.3277014178088</v>
      </c>
      <c r="N4" s="295">
        <f>O4</f>
        <v>1538.3758033418321</v>
      </c>
      <c r="O4" s="295">
        <f>'Comps Value'!Q33</f>
        <v>1538.3758033418321</v>
      </c>
    </row>
    <row r="5" spans="10:15" ht="15" customHeight="1" x14ac:dyDescent="0.3">
      <c r="J5" s="437"/>
      <c r="K5" s="116" t="s">
        <v>315</v>
      </c>
      <c r="L5" s="295">
        <f>M5</f>
        <v>334.42475237824755</v>
      </c>
      <c r="M5" s="295">
        <f>'DCF&gt;'!P23</f>
        <v>334.42475237824755</v>
      </c>
      <c r="N5" s="295">
        <f>O5</f>
        <v>427.72148447048556</v>
      </c>
      <c r="O5" s="295">
        <f>'DCF&gt;'!P27</f>
        <v>427.72148447048556</v>
      </c>
    </row>
    <row r="6" spans="10:15" x14ac:dyDescent="0.3">
      <c r="J6" s="437"/>
      <c r="K6" s="116" t="s">
        <v>498</v>
      </c>
      <c r="L6" s="295">
        <f>M6</f>
        <v>427.99003260950803</v>
      </c>
      <c r="M6" s="295">
        <f>'DCF&gt;'!N23</f>
        <v>427.99003260950803</v>
      </c>
      <c r="N6" s="295">
        <f>O6</f>
        <v>716.11980676906546</v>
      </c>
      <c r="O6" s="295">
        <f>'DCF&gt;'!N27</f>
        <v>716.11980676906546</v>
      </c>
    </row>
    <row r="7" spans="10:15" ht="15.6" customHeight="1" x14ac:dyDescent="0.3">
      <c r="J7" s="437"/>
      <c r="K7" s="116" t="s">
        <v>316</v>
      </c>
      <c r="L7" s="295">
        <f>M7</f>
        <v>507.16809454855439</v>
      </c>
      <c r="M7" s="295">
        <f>'DCF&gt;'!M23</f>
        <v>507.16809454855439</v>
      </c>
      <c r="N7" s="295">
        <f>O7</f>
        <v>1186.3895079827955</v>
      </c>
      <c r="O7" s="295">
        <f>'DCF&gt;'!M27</f>
        <v>1186.3895079827955</v>
      </c>
    </row>
    <row r="8" spans="10:15" x14ac:dyDescent="0.3">
      <c r="J8" s="26"/>
      <c r="K8" s="116" t="s">
        <v>499</v>
      </c>
      <c r="L8" s="296">
        <v>982</v>
      </c>
      <c r="M8" s="296">
        <v>982</v>
      </c>
      <c r="N8" s="296">
        <v>1728</v>
      </c>
      <c r="O8" s="296">
        <v>1728</v>
      </c>
    </row>
    <row r="16" spans="10:15" x14ac:dyDescent="0.3">
      <c r="O16" t="s">
        <v>321</v>
      </c>
    </row>
  </sheetData>
  <mergeCells count="1">
    <mergeCell ref="J5:J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6A86-C9B7-4202-BA3F-BBF32C3990CF}">
  <sheetPr>
    <pageSetUpPr fitToPage="1"/>
  </sheetPr>
  <dimension ref="A2:Q36"/>
  <sheetViews>
    <sheetView showGridLines="0" topLeftCell="A4" zoomScale="85" zoomScaleNormal="85" workbookViewId="0">
      <selection activeCell="H9" sqref="H9"/>
    </sheetView>
  </sheetViews>
  <sheetFormatPr defaultRowHeight="14.4" x14ac:dyDescent="0.3"/>
  <cols>
    <col min="1" max="1" width="1.88671875" customWidth="1"/>
    <col min="2" max="2" width="16.33203125" customWidth="1"/>
    <col min="3" max="3" width="11.21875" customWidth="1"/>
    <col min="4" max="4" width="10.6640625" customWidth="1"/>
    <col min="5" max="5" width="12.44140625" customWidth="1"/>
    <col min="6" max="6" width="13.21875" customWidth="1"/>
    <col min="7" max="7" width="11.88671875" customWidth="1"/>
    <col min="8" max="8" width="13.21875" customWidth="1"/>
    <col min="10" max="10" width="1.88671875" customWidth="1"/>
    <col min="11" max="11" width="11.109375" bestFit="1" customWidth="1"/>
    <col min="12" max="12" width="9.5546875" bestFit="1" customWidth="1"/>
    <col min="13" max="13" width="11.21875" customWidth="1"/>
    <col min="14" max="14" width="1.88671875" customWidth="1"/>
    <col min="15" max="17" width="12.44140625" bestFit="1" customWidth="1"/>
  </cols>
  <sheetData>
    <row r="2" spans="1:17" x14ac:dyDescent="0.3">
      <c r="B2" s="185" t="s">
        <v>463</v>
      </c>
    </row>
    <row r="3" spans="1:17" ht="14.4" customHeight="1" thickBot="1" x14ac:dyDescent="0.35">
      <c r="B3" s="205" t="s">
        <v>462</v>
      </c>
      <c r="C3" s="204"/>
      <c r="D3" s="204"/>
      <c r="E3" s="203"/>
      <c r="F3" s="203"/>
      <c r="G3" s="203"/>
      <c r="H3" s="203"/>
      <c r="I3" s="203"/>
      <c r="J3" s="203"/>
      <c r="K3" s="203"/>
    </row>
    <row r="4" spans="1:17" ht="3.6" customHeight="1" x14ac:dyDescent="0.3"/>
    <row r="5" spans="1:17" ht="15" thickBot="1" x14ac:dyDescent="0.35">
      <c r="B5" s="70"/>
      <c r="C5" s="70"/>
      <c r="D5" s="438" t="s">
        <v>461</v>
      </c>
      <c r="E5" s="438"/>
      <c r="F5" s="438"/>
      <c r="G5" s="438"/>
      <c r="H5" s="438"/>
      <c r="I5" s="202"/>
      <c r="J5" s="51"/>
      <c r="K5" s="438" t="s">
        <v>460</v>
      </c>
      <c r="L5" s="438"/>
      <c r="M5" s="438"/>
      <c r="N5" s="51"/>
      <c r="O5" s="438" t="s">
        <v>459</v>
      </c>
      <c r="P5" s="438"/>
      <c r="Q5" s="438"/>
    </row>
    <row r="6" spans="1:17" ht="30" customHeight="1" x14ac:dyDescent="0.3">
      <c r="B6" s="69" t="s">
        <v>458</v>
      </c>
      <c r="C6" s="69" t="s">
        <v>457</v>
      </c>
      <c r="D6" s="201" t="s">
        <v>312</v>
      </c>
      <c r="E6" s="201" t="s">
        <v>456</v>
      </c>
      <c r="F6" s="201" t="s">
        <v>455</v>
      </c>
      <c r="G6" s="201" t="s">
        <v>444</v>
      </c>
      <c r="H6" s="201" t="s">
        <v>454</v>
      </c>
      <c r="I6" s="201"/>
      <c r="J6" s="191"/>
      <c r="K6" s="191" t="s">
        <v>453</v>
      </c>
      <c r="L6" s="191" t="s">
        <v>394</v>
      </c>
      <c r="M6" s="191" t="s">
        <v>452</v>
      </c>
      <c r="N6" s="191"/>
      <c r="O6" s="191" t="s">
        <v>448</v>
      </c>
      <c r="P6" s="191" t="s">
        <v>447</v>
      </c>
      <c r="Q6" s="191" t="s">
        <v>446</v>
      </c>
    </row>
    <row r="7" spans="1:17" ht="3.6" customHeight="1" x14ac:dyDescent="0.3"/>
    <row r="8" spans="1:17" x14ac:dyDescent="0.3">
      <c r="A8" s="26" t="s">
        <v>240</v>
      </c>
      <c r="B8" s="266" t="str">
        <f>'Comps Data'!C5</f>
        <v>TCS</v>
      </c>
      <c r="C8" s="266" t="s">
        <v>321</v>
      </c>
      <c r="D8" s="297">
        <f>'Comps Data'!D5</f>
        <v>2446.6</v>
      </c>
      <c r="E8" s="297">
        <f>'Comps Data'!E5</f>
        <v>361.81</v>
      </c>
      <c r="F8" s="297">
        <f t="shared" ref="F8:F17" si="0">D8*E8</f>
        <v>885204.34600000002</v>
      </c>
      <c r="G8" s="297">
        <f>'Comps Data'!I5</f>
        <v>-1625</v>
      </c>
      <c r="H8" s="297">
        <f>F8+G8</f>
        <v>883579.34600000002</v>
      </c>
      <c r="I8" s="297"/>
      <c r="J8" s="297"/>
      <c r="K8" s="297">
        <f>'Comps Data'!K5</f>
        <v>275859</v>
      </c>
      <c r="L8" s="297">
        <f>'Comps Data'!L5</f>
        <v>50055</v>
      </c>
      <c r="M8" s="297">
        <f>'Comps Data'!M5</f>
        <v>5560</v>
      </c>
      <c r="N8" s="267"/>
      <c r="O8" s="270">
        <f t="shared" ref="O8:O17" si="1">$H8/K8</f>
        <v>3.2030107627447357</v>
      </c>
      <c r="P8" s="270">
        <f t="shared" ref="P8:P17" si="2">$H8/L8</f>
        <v>17.652169533513135</v>
      </c>
      <c r="Q8" s="270">
        <f t="shared" ref="Q8:Q17" si="3">F8/M8</f>
        <v>159.20941474820145</v>
      </c>
    </row>
    <row r="9" spans="1:17" x14ac:dyDescent="0.3">
      <c r="B9" s="269" t="str">
        <f>'Comps Data'!C6</f>
        <v>Infosys</v>
      </c>
      <c r="C9" s="266"/>
      <c r="D9" s="297">
        <f>'Comps Data'!D6</f>
        <v>1155.5999999999999</v>
      </c>
      <c r="E9" s="297">
        <f>'Comps Data'!E6</f>
        <v>405.76</v>
      </c>
      <c r="F9" s="297">
        <f t="shared" si="0"/>
        <v>468896.25599999994</v>
      </c>
      <c r="G9" s="297">
        <f>'Comps Data'!I6</f>
        <v>-13464</v>
      </c>
      <c r="H9" s="297">
        <f t="shared" ref="H9:H17" si="4">F9+G9</f>
        <v>455432.25599999994</v>
      </c>
      <c r="I9" s="297"/>
      <c r="J9" s="297"/>
      <c r="K9" s="297">
        <f>'Comps Data'!K6</f>
        <v>184582</v>
      </c>
      <c r="L9" s="297">
        <f>'Comps Data'!L6</f>
        <v>30325</v>
      </c>
      <c r="M9" s="297">
        <f>'Comps Data'!M6</f>
        <v>4902</v>
      </c>
      <c r="N9" s="267"/>
      <c r="O9" s="270">
        <f t="shared" si="1"/>
        <v>2.4673709029049418</v>
      </c>
      <c r="P9" s="270">
        <f t="shared" si="2"/>
        <v>15.018376125309148</v>
      </c>
      <c r="Q9" s="270">
        <f t="shared" si="3"/>
        <v>95.65407099143205</v>
      </c>
    </row>
    <row r="10" spans="1:17" x14ac:dyDescent="0.3">
      <c r="B10" s="266" t="str">
        <f>'Comps Data'!C7</f>
        <v>HCL Technologies</v>
      </c>
      <c r="C10" s="266"/>
      <c r="D10" s="297">
        <f>'Comps Data'!D7</f>
        <v>1344.3</v>
      </c>
      <c r="E10" s="297">
        <f>'Comps Data'!E7</f>
        <v>271.37</v>
      </c>
      <c r="F10" s="297">
        <f t="shared" si="0"/>
        <v>364802.69099999999</v>
      </c>
      <c r="G10" s="297">
        <f>'Comps Data'!I7</f>
        <v>-18210</v>
      </c>
      <c r="H10" s="297">
        <f t="shared" si="4"/>
        <v>346592.69099999999</v>
      </c>
      <c r="I10" s="297"/>
      <c r="J10" s="297"/>
      <c r="K10" s="297">
        <f>'Comps Data'!K7</f>
        <v>134374</v>
      </c>
      <c r="L10" s="297">
        <f>'Comps Data'!L7</f>
        <v>17434</v>
      </c>
      <c r="M10" s="297">
        <f>'Comps Data'!M7</f>
        <v>4355</v>
      </c>
      <c r="N10" s="267"/>
      <c r="O10" s="270">
        <f t="shared" si="1"/>
        <v>2.579313639543364</v>
      </c>
      <c r="P10" s="270">
        <f t="shared" si="2"/>
        <v>19.880273660663072</v>
      </c>
      <c r="Q10" s="270">
        <f t="shared" si="3"/>
        <v>83.766404362801381</v>
      </c>
    </row>
    <row r="11" spans="1:17" x14ac:dyDescent="0.3">
      <c r="B11" s="266" t="str">
        <f>'Comps Data'!C8</f>
        <v>Wipro</v>
      </c>
      <c r="C11" s="266"/>
      <c r="D11" s="297">
        <f>'Comps Data'!D8</f>
        <v>183.61</v>
      </c>
      <c r="E11" s="297">
        <f>'Comps Data'!E8</f>
        <v>990.41</v>
      </c>
      <c r="F11" s="297">
        <f t="shared" si="0"/>
        <v>181849.1801</v>
      </c>
      <c r="G11" s="297">
        <f>'Comps Data'!I8</f>
        <v>9735.5</v>
      </c>
      <c r="H11" s="297">
        <f t="shared" si="4"/>
        <v>191584.6801</v>
      </c>
      <c r="I11" s="297"/>
      <c r="J11" s="297"/>
      <c r="K11" s="297">
        <f>'Comps Data'!K8</f>
        <v>94968</v>
      </c>
      <c r="L11" s="297">
        <f>'Comps Data'!L8</f>
        <v>13285.3</v>
      </c>
      <c r="M11" s="297">
        <f>'Comps Data'!M8</f>
        <v>2910.7</v>
      </c>
      <c r="N11" s="267"/>
      <c r="O11" s="270">
        <f t="shared" si="1"/>
        <v>2.017360375073709</v>
      </c>
      <c r="P11" s="270">
        <f t="shared" si="2"/>
        <v>14.420801946512311</v>
      </c>
      <c r="Q11" s="270">
        <f t="shared" si="3"/>
        <v>62.476098567354931</v>
      </c>
    </row>
    <row r="12" spans="1:17" x14ac:dyDescent="0.3">
      <c r="B12" s="266" t="str">
        <f>'Comps Data'!C9</f>
        <v>Tech Mahindra</v>
      </c>
      <c r="C12" s="266"/>
      <c r="D12" s="297">
        <f>'Comps Data'!D9</f>
        <v>1644.2</v>
      </c>
      <c r="E12" s="297">
        <f>'Comps Data'!E9</f>
        <v>98.01</v>
      </c>
      <c r="F12" s="297">
        <f t="shared" si="0"/>
        <v>161148.04200000002</v>
      </c>
      <c r="G12" s="297">
        <f>'Comps Data'!I9</f>
        <v>-2919.2</v>
      </c>
      <c r="H12" s="297">
        <f t="shared" si="4"/>
        <v>158228.842</v>
      </c>
      <c r="I12" s="297"/>
      <c r="J12" s="297"/>
      <c r="K12" s="297">
        <f>'Comps Data'!K9</f>
        <v>59176.1</v>
      </c>
      <c r="L12" s="297">
        <f>'Comps Data'!L9</f>
        <v>5163</v>
      </c>
      <c r="M12" s="297">
        <f>'Comps Data'!M9</f>
        <v>1881.6</v>
      </c>
      <c r="N12" s="267"/>
      <c r="O12" s="270">
        <f t="shared" si="1"/>
        <v>2.673863975490105</v>
      </c>
      <c r="P12" s="270">
        <f t="shared" si="2"/>
        <v>30.646686422622508</v>
      </c>
      <c r="Q12" s="270">
        <f t="shared" si="3"/>
        <v>85.644154974489808</v>
      </c>
    </row>
    <row r="13" spans="1:17" x14ac:dyDescent="0.3">
      <c r="B13" s="266" t="str">
        <f>'Comps Data'!C10</f>
        <v>LTM</v>
      </c>
      <c r="C13" s="266"/>
      <c r="D13" s="297">
        <f>'Comps Data'!D10</f>
        <v>4422.7</v>
      </c>
      <c r="E13" s="297">
        <f>'Comps Data'!E10</f>
        <v>29.66</v>
      </c>
      <c r="F13" s="297">
        <f t="shared" si="0"/>
        <v>131177.28200000001</v>
      </c>
      <c r="G13" s="297">
        <f>'Comps Data'!I10</f>
        <v>-502.40000000000009</v>
      </c>
      <c r="H13" s="297">
        <f t="shared" si="4"/>
        <v>130674.88200000001</v>
      </c>
      <c r="I13" s="297"/>
      <c r="J13" s="297"/>
      <c r="K13" s="297">
        <f>'Comps Data'!K10</f>
        <v>44075</v>
      </c>
      <c r="L13" s="297">
        <f>'Comps Data'!L10</f>
        <v>5196.7</v>
      </c>
      <c r="M13" s="297">
        <f>'Comps Data'!M10</f>
        <v>1054.0999999999999</v>
      </c>
      <c r="N13" s="267"/>
      <c r="O13" s="270">
        <f t="shared" si="1"/>
        <v>2.9648299943278507</v>
      </c>
      <c r="P13" s="270">
        <f t="shared" si="2"/>
        <v>25.145742875286242</v>
      </c>
      <c r="Q13" s="270">
        <f t="shared" si="3"/>
        <v>124.44481737975526</v>
      </c>
    </row>
    <row r="14" spans="1:17" x14ac:dyDescent="0.3">
      <c r="B14" s="266" t="str">
        <f>'Comps Data'!C11</f>
        <v>Persistent Systems</v>
      </c>
      <c r="C14" s="266"/>
      <c r="D14" s="297">
        <f>'Comps Data'!D11</f>
        <v>5483.3</v>
      </c>
      <c r="E14" s="297">
        <f>'Comps Data'!E11</f>
        <v>15.78</v>
      </c>
      <c r="F14" s="297">
        <f t="shared" si="0"/>
        <v>86526.474000000002</v>
      </c>
      <c r="G14" s="297">
        <f>'Comps Data'!I11</f>
        <v>-740.8</v>
      </c>
      <c r="H14" s="297">
        <f t="shared" si="4"/>
        <v>85785.673999999999</v>
      </c>
      <c r="I14" s="297"/>
      <c r="J14" s="297"/>
      <c r="K14" s="297">
        <f>'Comps Data'!K11</f>
        <v>14748.45</v>
      </c>
      <c r="L14" s="297">
        <f>'Comps Data'!L11</f>
        <v>1865.12</v>
      </c>
      <c r="M14" s="297">
        <f>'Comps Data'!M11</f>
        <v>402.95</v>
      </c>
      <c r="N14" s="267"/>
      <c r="O14" s="270">
        <f t="shared" si="1"/>
        <v>5.8165891330953423</v>
      </c>
      <c r="P14" s="270">
        <f t="shared" si="2"/>
        <v>45.994720983100287</v>
      </c>
      <c r="Q14" s="270">
        <f>F14/M14</f>
        <v>214.73253257227944</v>
      </c>
    </row>
    <row r="15" spans="1:17" x14ac:dyDescent="0.3">
      <c r="B15" s="266" t="str">
        <f>'Comps Data'!C12</f>
        <v>Coforge</v>
      </c>
      <c r="C15" s="266"/>
      <c r="D15" s="297">
        <f>'Comps Data'!D12</f>
        <v>1714.9</v>
      </c>
      <c r="E15" s="297">
        <f>'Comps Data'!E12</f>
        <v>44.27</v>
      </c>
      <c r="F15" s="297">
        <f t="shared" si="0"/>
        <v>75918.623000000007</v>
      </c>
      <c r="G15" s="297">
        <f>'Comps Data'!I12</f>
        <v>-371.40000000000009</v>
      </c>
      <c r="H15" s="297">
        <f t="shared" si="4"/>
        <v>75547.223000000013</v>
      </c>
      <c r="I15" s="297"/>
      <c r="J15" s="297"/>
      <c r="K15" s="297">
        <f>'Comps Data'!K12</f>
        <v>18195.400000000001</v>
      </c>
      <c r="L15" s="297">
        <f>'Comps Data'!L12</f>
        <v>1920</v>
      </c>
      <c r="M15" s="297">
        <f>'Comps Data'!M12</f>
        <v>681.9</v>
      </c>
      <c r="N15" s="267"/>
      <c r="O15" s="270">
        <f t="shared" si="1"/>
        <v>4.1519957241940277</v>
      </c>
      <c r="P15" s="270">
        <f t="shared" si="2"/>
        <v>39.347511979166676</v>
      </c>
      <c r="Q15" s="270">
        <f t="shared" si="3"/>
        <v>111.33395365889427</v>
      </c>
    </row>
    <row r="16" spans="1:17" x14ac:dyDescent="0.3">
      <c r="B16" s="266" t="str">
        <f>'Comps Data'!C13</f>
        <v>Mphasis</v>
      </c>
      <c r="C16" s="266"/>
      <c r="D16" s="297">
        <f>'Comps Data'!D13</f>
        <v>2361.3000000000002</v>
      </c>
      <c r="E16" s="297">
        <f>'Comps Data'!E13</f>
        <v>19.09</v>
      </c>
      <c r="F16" s="297">
        <f t="shared" si="0"/>
        <v>45077.217000000004</v>
      </c>
      <c r="G16" s="297">
        <f>'Comps Data'!I13</f>
        <v>866.9699999999998</v>
      </c>
      <c r="H16" s="297">
        <f t="shared" si="4"/>
        <v>45944.187000000005</v>
      </c>
      <c r="I16" s="297"/>
      <c r="J16" s="297"/>
      <c r="K16" s="297">
        <f>'Comps Data'!K13</f>
        <v>16531.21</v>
      </c>
      <c r="L16" s="297">
        <f>'Comps Data'!L13</f>
        <v>1910.41</v>
      </c>
      <c r="M16" s="297">
        <f>'Comps Data'!M13</f>
        <v>555.27</v>
      </c>
      <c r="N16" s="267"/>
      <c r="O16" s="270">
        <f t="shared" si="1"/>
        <v>2.7792392087451558</v>
      </c>
      <c r="P16" s="270">
        <f t="shared" si="2"/>
        <v>24.049385733952398</v>
      </c>
      <c r="Q16" s="270">
        <f t="shared" si="3"/>
        <v>81.180717488789242</v>
      </c>
    </row>
    <row r="17" spans="1:17" ht="15.6" customHeight="1" x14ac:dyDescent="0.3">
      <c r="B17" s="266" t="str">
        <f>'Comps Data'!C14</f>
        <v>Hexaware Tech.</v>
      </c>
      <c r="C17" s="266"/>
      <c r="D17" s="297">
        <f>'Comps Data'!D14</f>
        <v>618.29999999999995</v>
      </c>
      <c r="E17" s="297">
        <f>'Comps Data'!E14</f>
        <v>61.1</v>
      </c>
      <c r="F17" s="297">
        <f t="shared" si="0"/>
        <v>37778.129999999997</v>
      </c>
      <c r="G17" s="297">
        <f>'Comps Data'!I14</f>
        <v>-1299.5</v>
      </c>
      <c r="H17" s="297">
        <f t="shared" si="4"/>
        <v>36478.629999999997</v>
      </c>
      <c r="I17" s="297"/>
      <c r="J17" s="297"/>
      <c r="K17" s="297">
        <f>'Comps Data'!K14</f>
        <v>14420</v>
      </c>
      <c r="L17" s="297">
        <f>'Comps Data'!L14</f>
        <v>1343.3</v>
      </c>
      <c r="M17" s="297">
        <f>'Comps Data'!M14</f>
        <v>361.3</v>
      </c>
      <c r="N17" s="268"/>
      <c r="O17" s="270">
        <f t="shared" si="1"/>
        <v>2.5297246879334256</v>
      </c>
      <c r="P17" s="270">
        <f t="shared" si="2"/>
        <v>27.155981538003424</v>
      </c>
      <c r="Q17" s="270">
        <f t="shared" si="3"/>
        <v>104.56166620536949</v>
      </c>
    </row>
    <row r="18" spans="1:17" ht="6" customHeight="1" x14ac:dyDescent="0.3"/>
    <row r="19" spans="1:17" x14ac:dyDescent="0.3">
      <c r="B19" s="196" t="s">
        <v>320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5">
        <f>MAX(O8:O17)</f>
        <v>5.8165891330953423</v>
      </c>
      <c r="P19" s="195">
        <f>MAX(P8:P17)</f>
        <v>45.994720983100287</v>
      </c>
      <c r="Q19" s="195">
        <f>MAX(Q8:Q17)</f>
        <v>214.73253257227944</v>
      </c>
    </row>
    <row r="20" spans="1:17" x14ac:dyDescent="0.3">
      <c r="B20" s="196" t="s">
        <v>451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5">
        <f>QUARTILE(O8:O17,3)</f>
        <v>3.1434655706405144</v>
      </c>
      <c r="P20" s="195">
        <f>QUARTILE(P8:P17,3)</f>
        <v>29.774010201467739</v>
      </c>
      <c r="Q20" s="195">
        <f>QUARTILE(Q8:Q17,3)</f>
        <v>121.16710144954001</v>
      </c>
    </row>
    <row r="21" spans="1:17" s="26" customFormat="1" x14ac:dyDescent="0.3">
      <c r="B21" s="198" t="s">
        <v>450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7">
        <f>AVERAGE(O8:O17)</f>
        <v>3.1183298404052655</v>
      </c>
      <c r="P21" s="197">
        <f>AVERAGE(P8:P17)</f>
        <v>25.931165079812921</v>
      </c>
      <c r="Q21" s="197">
        <f>AVERAGE(Q8:Q17)</f>
        <v>112.30038309493673</v>
      </c>
    </row>
    <row r="22" spans="1:17" s="26" customFormat="1" x14ac:dyDescent="0.3">
      <c r="B22" s="198" t="s">
        <v>16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7">
        <f>MEDIAN(O8:O17)</f>
        <v>2.7265515921176302</v>
      </c>
      <c r="P22" s="197">
        <f>MEDIAN(P8:P17)</f>
        <v>24.597564304619318</v>
      </c>
      <c r="Q22" s="197">
        <f>MEDIAN(Q8:Q17)</f>
        <v>100.10786859840077</v>
      </c>
    </row>
    <row r="23" spans="1:17" x14ac:dyDescent="0.3">
      <c r="B23" s="196" t="s">
        <v>449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5">
        <f>QUARTILE(O8:O17,1)</f>
        <v>2.54212192583591</v>
      </c>
      <c r="P23" s="195">
        <f>QUARTILE(P8:P17,1)</f>
        <v>18.209195565300618</v>
      </c>
      <c r="Q23" s="195">
        <f>QUARTILE(Q8:Q17,1)</f>
        <v>84.235842015723492</v>
      </c>
    </row>
    <row r="24" spans="1:17" x14ac:dyDescent="0.3">
      <c r="B24" s="196" t="s">
        <v>318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5">
        <f>MIN(O8:O17)</f>
        <v>2.017360375073709</v>
      </c>
      <c r="P24" s="195">
        <f>MIN(P8:P17)</f>
        <v>14.420801946512311</v>
      </c>
      <c r="Q24" s="195">
        <f>MIN(Q8:Q17)</f>
        <v>62.476098567354931</v>
      </c>
    </row>
    <row r="26" spans="1:17" ht="15" thickBot="1" x14ac:dyDescent="0.35">
      <c r="A26" s="26" t="s">
        <v>240</v>
      </c>
      <c r="B26" s="194" t="s">
        <v>495</v>
      </c>
      <c r="C26" s="193"/>
      <c r="D26" s="193"/>
      <c r="E26" s="193"/>
      <c r="F26" s="193"/>
      <c r="G26" s="193"/>
      <c r="H26" s="193"/>
      <c r="I26" s="193"/>
      <c r="J26" s="193"/>
      <c r="K26" s="193"/>
      <c r="L26" s="51"/>
      <c r="M26" s="51"/>
      <c r="N26" s="192"/>
      <c r="O26" s="191" t="s">
        <v>448</v>
      </c>
      <c r="P26" s="191" t="s">
        <v>447</v>
      </c>
      <c r="Q26" s="191" t="s">
        <v>446</v>
      </c>
    </row>
    <row r="27" spans="1:17" ht="3.6" customHeight="1" x14ac:dyDescent="0.3"/>
    <row r="28" spans="1:17" x14ac:dyDescent="0.3">
      <c r="B28" s="84" t="s">
        <v>445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298">
        <f>O22*K8</f>
        <v>752143.7956499774</v>
      </c>
      <c r="P28" s="298">
        <f>P22*L8</f>
        <v>1231231.0812677201</v>
      </c>
      <c r="Q28" s="298">
        <f>Q30+Q29</f>
        <v>554974.74940710829</v>
      </c>
    </row>
    <row r="29" spans="1:17" x14ac:dyDescent="0.3">
      <c r="B29" s="84" t="s">
        <v>444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298">
        <f>$G$8</f>
        <v>-1625</v>
      </c>
      <c r="P29" s="298">
        <f>$G$8</f>
        <v>-1625</v>
      </c>
      <c r="Q29" s="298">
        <f>$G$8</f>
        <v>-1625</v>
      </c>
    </row>
    <row r="30" spans="1:17" x14ac:dyDescent="0.3">
      <c r="B30" s="84" t="s">
        <v>443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298">
        <f>O28-O29</f>
        <v>753768.7956499774</v>
      </c>
      <c r="P30" s="298">
        <f>P28-P29</f>
        <v>1232856.0812677201</v>
      </c>
      <c r="Q30" s="298">
        <f>Q22*M8</f>
        <v>556599.74940710829</v>
      </c>
    </row>
    <row r="31" spans="1:17" x14ac:dyDescent="0.3">
      <c r="B31" s="84" t="s">
        <v>442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298">
        <f>$E$8</f>
        <v>361.81</v>
      </c>
      <c r="P31" s="298">
        <f>$E$8</f>
        <v>361.81</v>
      </c>
      <c r="Q31" s="298">
        <f>$E$8</f>
        <v>361.81</v>
      </c>
    </row>
    <row r="32" spans="1:17" ht="3.6" customHeight="1" x14ac:dyDescent="0.3"/>
    <row r="33" spans="2:17" ht="15" thickBot="1" x14ac:dyDescent="0.35">
      <c r="B33" s="189" t="s">
        <v>441</v>
      </c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8">
        <f>O30/O31</f>
        <v>2083.3277014178088</v>
      </c>
      <c r="P33" s="188">
        <f>P30/P31</f>
        <v>3407.4682326848902</v>
      </c>
      <c r="Q33" s="188">
        <f>Q30/Q31</f>
        <v>1538.3758033418321</v>
      </c>
    </row>
    <row r="34" spans="2:17" s="118" customFormat="1" ht="3.6" customHeight="1" x14ac:dyDescent="0.3"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6"/>
      <c r="P34" s="186"/>
      <c r="Q34" s="186"/>
    </row>
    <row r="35" spans="2:17" x14ac:dyDescent="0.3">
      <c r="B35" s="185" t="s">
        <v>440</v>
      </c>
    </row>
    <row r="36" spans="2:17" x14ac:dyDescent="0.3">
      <c r="O36" s="184" t="str">
        <f>IF(O33&gt;$D$9,"Undervalued","Overvalued")</f>
        <v>Undervalued</v>
      </c>
      <c r="P36" s="184" t="str">
        <f t="shared" ref="P36:Q36" si="5">IF(P33&gt;$D$9,"Undervalued","Overvalued")</f>
        <v>Undervalued</v>
      </c>
      <c r="Q36" s="184" t="str">
        <f t="shared" si="5"/>
        <v>Undervalued</v>
      </c>
    </row>
  </sheetData>
  <mergeCells count="3">
    <mergeCell ref="D5:H5"/>
    <mergeCell ref="K5:M5"/>
    <mergeCell ref="O5:Q5"/>
  </mergeCells>
  <pageMargins left="0.7" right="0.7" top="0.75" bottom="0.75" header="0.3" footer="0.3"/>
  <pageSetup scale="77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83AF-6631-4BC2-A4A1-79C0D95F2051}">
  <dimension ref="B2:O44"/>
  <sheetViews>
    <sheetView showGridLines="0" workbookViewId="0">
      <selection activeCell="F27" sqref="F27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6.109375" bestFit="1" customWidth="1"/>
    <col min="4" max="4" width="8.5546875" bestFit="1" customWidth="1"/>
    <col min="5" max="5" width="15.6640625" bestFit="1" customWidth="1"/>
    <col min="6" max="6" width="13.6640625" bestFit="1" customWidth="1"/>
    <col min="7" max="7" width="10.109375" bestFit="1" customWidth="1"/>
    <col min="8" max="8" width="13.6640625" bestFit="1" customWidth="1"/>
    <col min="9" max="9" width="10.109375" bestFit="1" customWidth="1"/>
    <col min="10" max="10" width="10.33203125" bestFit="1" customWidth="1"/>
    <col min="11" max="11" width="12.6640625" bestFit="1" customWidth="1"/>
    <col min="12" max="12" width="13.109375" bestFit="1" customWidth="1"/>
    <col min="13" max="13" width="14.109375" bestFit="1" customWidth="1"/>
    <col min="14" max="15" width="9" bestFit="1" customWidth="1"/>
  </cols>
  <sheetData>
    <row r="2" spans="2:15" ht="20.399999999999999" customHeight="1" x14ac:dyDescent="0.4">
      <c r="B2" s="276" t="s">
        <v>471</v>
      </c>
      <c r="C2" s="210"/>
    </row>
    <row r="3" spans="2:15" ht="3.6" customHeight="1" x14ac:dyDescent="0.4">
      <c r="B3" s="209"/>
      <c r="C3" s="209"/>
    </row>
    <row r="4" spans="2:15" x14ac:dyDescent="0.3">
      <c r="B4" s="208" t="s">
        <v>141</v>
      </c>
      <c r="C4" s="208" t="s">
        <v>142</v>
      </c>
      <c r="D4" s="192" t="s">
        <v>144</v>
      </c>
      <c r="E4" s="192" t="s">
        <v>470</v>
      </c>
      <c r="F4" s="192" t="s">
        <v>469</v>
      </c>
      <c r="G4" s="192" t="s">
        <v>146</v>
      </c>
      <c r="H4" s="192" t="s">
        <v>468</v>
      </c>
      <c r="I4" s="192" t="s">
        <v>444</v>
      </c>
      <c r="J4" s="207" t="s">
        <v>467</v>
      </c>
      <c r="K4" s="192" t="s">
        <v>466</v>
      </c>
      <c r="L4" s="192" t="s">
        <v>465</v>
      </c>
      <c r="M4" s="192" t="s">
        <v>464</v>
      </c>
      <c r="N4" s="192" t="s">
        <v>394</v>
      </c>
      <c r="O4" s="192" t="s">
        <v>250</v>
      </c>
    </row>
    <row r="5" spans="2:15" x14ac:dyDescent="0.3">
      <c r="B5" s="200">
        <v>1</v>
      </c>
      <c r="C5" s="277" t="s">
        <v>476</v>
      </c>
      <c r="D5" s="199">
        <v>2446.6</v>
      </c>
      <c r="E5" s="199">
        <v>361.81</v>
      </c>
      <c r="F5" s="199">
        <f>D5*E5</f>
        <v>885204.34600000002</v>
      </c>
      <c r="G5" s="199">
        <v>11283</v>
      </c>
      <c r="H5" s="199">
        <v>12908</v>
      </c>
      <c r="I5" s="199">
        <f t="shared" ref="I5:I14" si="0">G5-H5</f>
        <v>-1625</v>
      </c>
      <c r="J5" s="199">
        <v>883749.85</v>
      </c>
      <c r="K5" s="199">
        <v>275859</v>
      </c>
      <c r="L5" s="199">
        <v>50055</v>
      </c>
      <c r="M5" s="199">
        <v>5560</v>
      </c>
      <c r="N5" s="190">
        <f t="shared" ref="N5:N14" si="1">O5+M5</f>
        <v>78511</v>
      </c>
      <c r="O5" s="199">
        <v>72951</v>
      </c>
    </row>
    <row r="6" spans="2:15" x14ac:dyDescent="0.3">
      <c r="B6" s="200">
        <v>2</v>
      </c>
      <c r="C6" s="277" t="s">
        <v>475</v>
      </c>
      <c r="D6" s="199">
        <v>1155.5999999999999</v>
      </c>
      <c r="E6" s="199">
        <v>405.76</v>
      </c>
      <c r="F6" s="199">
        <f t="shared" ref="F6:F14" si="2">D6*E6</f>
        <v>468896.25599999994</v>
      </c>
      <c r="G6" s="199">
        <v>8737</v>
      </c>
      <c r="H6" s="199">
        <v>22201</v>
      </c>
      <c r="I6" s="199">
        <f t="shared" si="0"/>
        <v>-13464</v>
      </c>
      <c r="J6" s="199">
        <v>456050.99</v>
      </c>
      <c r="K6" s="199">
        <v>184582</v>
      </c>
      <c r="L6" s="199">
        <v>30325</v>
      </c>
      <c r="M6" s="199">
        <v>4902</v>
      </c>
      <c r="N6" s="190">
        <f t="shared" si="1"/>
        <v>47904</v>
      </c>
      <c r="O6" s="199">
        <v>43002</v>
      </c>
    </row>
    <row r="7" spans="2:15" x14ac:dyDescent="0.3">
      <c r="B7" s="200">
        <v>3</v>
      </c>
      <c r="C7" s="277" t="s">
        <v>477</v>
      </c>
      <c r="D7" s="199">
        <v>1344.3</v>
      </c>
      <c r="E7" s="199">
        <v>271.37</v>
      </c>
      <c r="F7" s="199">
        <f t="shared" si="2"/>
        <v>364802.69099999999</v>
      </c>
      <c r="G7" s="199">
        <v>5215</v>
      </c>
      <c r="H7" s="199">
        <v>23425</v>
      </c>
      <c r="I7" s="199">
        <f t="shared" si="0"/>
        <v>-18210</v>
      </c>
      <c r="J7" s="199">
        <v>346602.07</v>
      </c>
      <c r="K7" s="199">
        <v>134374</v>
      </c>
      <c r="L7" s="199">
        <v>17434</v>
      </c>
      <c r="M7" s="199">
        <v>4355</v>
      </c>
      <c r="N7" s="190">
        <f t="shared" si="1"/>
        <v>29076</v>
      </c>
      <c r="O7" s="199">
        <v>24721</v>
      </c>
    </row>
    <row r="8" spans="2:15" x14ac:dyDescent="0.3">
      <c r="B8" s="200">
        <v>4</v>
      </c>
      <c r="C8" s="277" t="s">
        <v>478</v>
      </c>
      <c r="D8" s="199">
        <v>183.61</v>
      </c>
      <c r="E8" s="199">
        <v>990.41</v>
      </c>
      <c r="F8" s="199">
        <f t="shared" si="2"/>
        <v>181849.1801</v>
      </c>
      <c r="G8" s="199">
        <v>20291</v>
      </c>
      <c r="H8" s="199">
        <v>10555.5</v>
      </c>
      <c r="I8" s="199">
        <f t="shared" si="0"/>
        <v>9735.5</v>
      </c>
      <c r="J8" s="199">
        <v>191615.96</v>
      </c>
      <c r="K8" s="199">
        <v>94968</v>
      </c>
      <c r="L8" s="199">
        <v>13285.3</v>
      </c>
      <c r="M8" s="199">
        <v>2910.7</v>
      </c>
      <c r="N8" s="190">
        <f t="shared" si="1"/>
        <v>21898.799999999999</v>
      </c>
      <c r="O8" s="199">
        <v>18988.099999999999</v>
      </c>
    </row>
    <row r="9" spans="2:15" x14ac:dyDescent="0.3">
      <c r="B9" s="200">
        <v>5</v>
      </c>
      <c r="C9" s="277" t="s">
        <v>479</v>
      </c>
      <c r="D9" s="199">
        <v>1644.2</v>
      </c>
      <c r="E9" s="199">
        <v>98.01</v>
      </c>
      <c r="F9" s="199">
        <f t="shared" si="2"/>
        <v>161148.04200000002</v>
      </c>
      <c r="G9" s="199">
        <v>2186.1999999999998</v>
      </c>
      <c r="H9" s="199">
        <v>5105.3999999999996</v>
      </c>
      <c r="I9" s="199">
        <f t="shared" si="0"/>
        <v>-2919.2</v>
      </c>
      <c r="J9" s="199">
        <v>158282.64000000001</v>
      </c>
      <c r="K9" s="199">
        <v>59176.1</v>
      </c>
      <c r="L9" s="199">
        <v>5163</v>
      </c>
      <c r="M9" s="199">
        <v>1881.6</v>
      </c>
      <c r="N9" s="190">
        <f t="shared" si="1"/>
        <v>9521.7999999999993</v>
      </c>
      <c r="O9" s="199">
        <v>7640.2</v>
      </c>
    </row>
    <row r="10" spans="2:15" x14ac:dyDescent="0.3">
      <c r="B10" s="200">
        <v>6</v>
      </c>
      <c r="C10" s="277" t="s">
        <v>489</v>
      </c>
      <c r="D10" s="199">
        <v>4422.7</v>
      </c>
      <c r="E10" s="199">
        <v>29.66</v>
      </c>
      <c r="F10" s="199">
        <f t="shared" si="2"/>
        <v>131177.28200000001</v>
      </c>
      <c r="G10" s="199">
        <v>2310</v>
      </c>
      <c r="H10" s="199">
        <v>2812.4</v>
      </c>
      <c r="I10" s="199">
        <f t="shared" si="0"/>
        <v>-502.40000000000009</v>
      </c>
      <c r="J10" s="199">
        <v>130704.66</v>
      </c>
      <c r="K10" s="199">
        <v>44075</v>
      </c>
      <c r="L10" s="199">
        <v>5196.7</v>
      </c>
      <c r="M10" s="199">
        <v>1054.0999999999999</v>
      </c>
      <c r="N10" s="190">
        <f t="shared" si="1"/>
        <v>8905.7000000000007</v>
      </c>
      <c r="O10" s="199">
        <v>7851.6</v>
      </c>
    </row>
    <row r="11" spans="2:15" x14ac:dyDescent="0.3">
      <c r="B11" s="200">
        <v>7</v>
      </c>
      <c r="C11" s="277" t="s">
        <v>490</v>
      </c>
      <c r="D11" s="199">
        <v>5483.3</v>
      </c>
      <c r="E11" s="199">
        <v>15.78</v>
      </c>
      <c r="F11" s="199">
        <f t="shared" si="2"/>
        <v>86526.474000000002</v>
      </c>
      <c r="G11" s="199">
        <v>477.45</v>
      </c>
      <c r="H11" s="199">
        <v>1218.25</v>
      </c>
      <c r="I11" s="199">
        <f t="shared" si="0"/>
        <v>-740.8</v>
      </c>
      <c r="J11" s="199">
        <v>85798.51</v>
      </c>
      <c r="K11" s="199">
        <v>14748.45</v>
      </c>
      <c r="L11" s="199">
        <v>1865.12</v>
      </c>
      <c r="M11" s="199">
        <v>402.95</v>
      </c>
      <c r="N11" s="190">
        <f t="shared" si="1"/>
        <v>2970.2</v>
      </c>
      <c r="O11" s="199">
        <v>2567.25</v>
      </c>
    </row>
    <row r="12" spans="2:15" x14ac:dyDescent="0.3">
      <c r="B12" s="200">
        <v>8</v>
      </c>
      <c r="C12" s="277" t="s">
        <v>491</v>
      </c>
      <c r="D12" s="199">
        <v>1714.9</v>
      </c>
      <c r="E12" s="199">
        <v>44.27</v>
      </c>
      <c r="F12" s="199">
        <f t="shared" si="2"/>
        <v>75918.623000000007</v>
      </c>
      <c r="G12" s="199">
        <v>727.8</v>
      </c>
      <c r="H12" s="199">
        <v>1099.2</v>
      </c>
      <c r="I12" s="199">
        <f t="shared" si="0"/>
        <v>-371.40000000000009</v>
      </c>
      <c r="J12" s="199">
        <v>75543.16</v>
      </c>
      <c r="K12" s="199">
        <v>18195.400000000001</v>
      </c>
      <c r="L12" s="199">
        <v>1920</v>
      </c>
      <c r="M12" s="199">
        <v>681.9</v>
      </c>
      <c r="N12" s="190">
        <f t="shared" si="1"/>
        <v>3416.6</v>
      </c>
      <c r="O12" s="199">
        <v>2734.7</v>
      </c>
    </row>
    <row r="13" spans="2:15" x14ac:dyDescent="0.3">
      <c r="B13" s="200">
        <v>9</v>
      </c>
      <c r="C13" s="277" t="s">
        <v>492</v>
      </c>
      <c r="D13" s="199">
        <v>2361.3000000000002</v>
      </c>
      <c r="E13" s="199">
        <v>19.09</v>
      </c>
      <c r="F13" s="199">
        <f t="shared" si="2"/>
        <v>45077.217000000004</v>
      </c>
      <c r="G13" s="199">
        <v>2619.6799999999998</v>
      </c>
      <c r="H13" s="199">
        <v>1752.71</v>
      </c>
      <c r="I13" s="199">
        <f t="shared" si="0"/>
        <v>866.9699999999998</v>
      </c>
      <c r="J13" s="199">
        <v>45973.45</v>
      </c>
      <c r="K13" s="199">
        <v>16531.21</v>
      </c>
      <c r="L13" s="199">
        <v>1910.41</v>
      </c>
      <c r="M13" s="199">
        <v>555.27</v>
      </c>
      <c r="N13" s="190">
        <f t="shared" si="1"/>
        <v>3383.49</v>
      </c>
      <c r="O13" s="199">
        <v>2828.22</v>
      </c>
    </row>
    <row r="14" spans="2:15" x14ac:dyDescent="0.3">
      <c r="B14" s="200">
        <v>10</v>
      </c>
      <c r="C14" s="277" t="s">
        <v>493</v>
      </c>
      <c r="D14" s="199">
        <v>618.29999999999995</v>
      </c>
      <c r="E14" s="199">
        <v>61.1</v>
      </c>
      <c r="F14" s="199">
        <f t="shared" si="2"/>
        <v>37778.129999999997</v>
      </c>
      <c r="G14" s="199">
        <v>683</v>
      </c>
      <c r="H14" s="199">
        <v>1982.5</v>
      </c>
      <c r="I14" s="199">
        <f t="shared" si="0"/>
        <v>-1299.5</v>
      </c>
      <c r="J14" s="199">
        <v>36808.22</v>
      </c>
      <c r="K14" s="199">
        <v>14420</v>
      </c>
      <c r="L14" s="199">
        <v>1343.3</v>
      </c>
      <c r="M14" s="199">
        <v>361.3</v>
      </c>
      <c r="N14" s="190">
        <f t="shared" si="1"/>
        <v>2327.1</v>
      </c>
      <c r="O14" s="199">
        <v>1965.8</v>
      </c>
    </row>
    <row r="15" spans="2:15" ht="4.2" customHeight="1" x14ac:dyDescent="0.3">
      <c r="B15" s="46"/>
      <c r="C15" s="15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9"/>
    </row>
    <row r="16" spans="2:15" x14ac:dyDescent="0.3">
      <c r="B16" s="261" t="s">
        <v>496</v>
      </c>
      <c r="C16" s="15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9"/>
    </row>
    <row r="17" spans="2:14" x14ac:dyDescent="0.3">
      <c r="B17" s="46"/>
      <c r="F17" s="206"/>
      <c r="G17" s="206"/>
      <c r="H17" s="206"/>
      <c r="I17" s="206"/>
      <c r="J17" s="206"/>
      <c r="K17" s="206"/>
      <c r="L17" s="206"/>
      <c r="M17" s="206"/>
      <c r="N17" s="9"/>
    </row>
    <row r="18" spans="2:14" x14ac:dyDescent="0.3">
      <c r="B18" s="46"/>
      <c r="F18" s="206"/>
      <c r="G18" s="206"/>
      <c r="H18" s="206"/>
      <c r="I18" s="206"/>
      <c r="J18" s="206"/>
      <c r="K18" s="206"/>
      <c r="L18" s="206"/>
      <c r="M18" s="206"/>
      <c r="N18" s="9"/>
    </row>
    <row r="19" spans="2:14" x14ac:dyDescent="0.3">
      <c r="B19" s="46"/>
      <c r="F19" s="206"/>
      <c r="G19" s="206"/>
      <c r="H19" s="206"/>
      <c r="I19" s="206"/>
      <c r="J19" s="206"/>
      <c r="K19" s="206"/>
      <c r="L19" s="206"/>
      <c r="M19" s="206"/>
      <c r="N19" s="9"/>
    </row>
    <row r="20" spans="2:14" x14ac:dyDescent="0.3">
      <c r="B20" s="46"/>
      <c r="F20" s="206"/>
      <c r="G20" s="206"/>
      <c r="H20" s="206"/>
      <c r="I20" s="206"/>
      <c r="J20" s="206"/>
      <c r="K20" s="206"/>
      <c r="L20" s="206"/>
      <c r="M20" s="206"/>
      <c r="N20" s="9"/>
    </row>
    <row r="21" spans="2:14" x14ac:dyDescent="0.3">
      <c r="B21" s="46"/>
      <c r="F21" s="206"/>
      <c r="G21" s="206"/>
      <c r="H21" s="206"/>
      <c r="I21" s="206"/>
      <c r="J21" s="206"/>
      <c r="K21" s="206"/>
      <c r="L21" s="206"/>
      <c r="M21" s="206"/>
      <c r="N21" s="9"/>
    </row>
    <row r="22" spans="2:14" x14ac:dyDescent="0.3">
      <c r="B22" s="46"/>
      <c r="F22" s="206"/>
      <c r="G22" s="206"/>
      <c r="H22" s="206"/>
      <c r="I22" s="206"/>
      <c r="J22" s="206"/>
      <c r="K22" s="206"/>
      <c r="L22" s="206"/>
      <c r="M22" s="206"/>
      <c r="N22" s="9"/>
    </row>
    <row r="23" spans="2:14" x14ac:dyDescent="0.3">
      <c r="B23" s="46"/>
      <c r="F23" s="206"/>
      <c r="G23" s="206"/>
      <c r="H23" s="206"/>
      <c r="I23" s="206"/>
      <c r="J23" s="206"/>
      <c r="K23" s="206"/>
      <c r="L23" s="206"/>
      <c r="M23" s="206"/>
      <c r="N23" s="9"/>
    </row>
    <row r="24" spans="2:14" x14ac:dyDescent="0.3">
      <c r="B24" s="46"/>
      <c r="F24" s="206"/>
      <c r="G24" s="206"/>
      <c r="H24" s="206"/>
      <c r="I24" s="206"/>
      <c r="J24" s="206"/>
      <c r="K24" s="206"/>
      <c r="L24" s="206"/>
      <c r="M24" s="206"/>
      <c r="N24" s="9"/>
    </row>
    <row r="25" spans="2:14" x14ac:dyDescent="0.3">
      <c r="B25" s="46"/>
      <c r="F25" s="206"/>
      <c r="G25" s="206"/>
      <c r="H25" s="206"/>
      <c r="I25" s="206"/>
      <c r="J25" s="206"/>
      <c r="K25" s="206"/>
      <c r="L25" s="206"/>
      <c r="M25" s="206"/>
      <c r="N25" s="9"/>
    </row>
    <row r="26" spans="2:14" x14ac:dyDescent="0.3">
      <c r="B26" s="46"/>
      <c r="F26" s="206"/>
      <c r="G26" s="206"/>
      <c r="H26" s="206"/>
      <c r="I26" s="206"/>
      <c r="J26" s="206"/>
      <c r="K26" s="206"/>
      <c r="L26" s="206"/>
      <c r="M26" s="206"/>
      <c r="N26" s="9"/>
    </row>
    <row r="27" spans="2:14" x14ac:dyDescent="0.3">
      <c r="B27" s="46"/>
      <c r="C27" s="15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9"/>
    </row>
    <row r="28" spans="2:14" x14ac:dyDescent="0.3">
      <c r="B28" s="46"/>
      <c r="C28" s="15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9"/>
    </row>
    <row r="29" spans="2:14" x14ac:dyDescent="0.3">
      <c r="B29" s="46"/>
      <c r="C29" s="15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9"/>
    </row>
    <row r="30" spans="2:14" x14ac:dyDescent="0.3">
      <c r="B30" s="46"/>
      <c r="C30" s="15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9"/>
    </row>
    <row r="31" spans="2:14" x14ac:dyDescent="0.3">
      <c r="B31" s="46"/>
      <c r="C31" s="15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9"/>
    </row>
    <row r="32" spans="2:14" x14ac:dyDescent="0.3">
      <c r="B32" s="46"/>
      <c r="C32" s="15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9"/>
    </row>
    <row r="33" spans="2:14" x14ac:dyDescent="0.3">
      <c r="B33" s="46"/>
      <c r="C33" s="15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9"/>
    </row>
    <row r="34" spans="2:14" x14ac:dyDescent="0.3">
      <c r="B34" s="46"/>
      <c r="C34" s="15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9"/>
    </row>
    <row r="35" spans="2:14" x14ac:dyDescent="0.3">
      <c r="B35" s="46"/>
      <c r="C35" s="15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9"/>
    </row>
    <row r="36" spans="2:14" x14ac:dyDescent="0.3">
      <c r="B36" s="46"/>
      <c r="C36" s="15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9"/>
    </row>
    <row r="37" spans="2:14" x14ac:dyDescent="0.3">
      <c r="B37" s="46"/>
      <c r="C37" s="15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9"/>
    </row>
    <row r="38" spans="2:14" x14ac:dyDescent="0.3">
      <c r="B38" s="46"/>
      <c r="C38" s="15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9"/>
    </row>
    <row r="39" spans="2:14" x14ac:dyDescent="0.3">
      <c r="B39" s="46"/>
      <c r="C39" s="15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9"/>
    </row>
    <row r="40" spans="2:14" x14ac:dyDescent="0.3">
      <c r="B40" s="46"/>
      <c r="C40" s="15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9"/>
    </row>
    <row r="41" spans="2:14" x14ac:dyDescent="0.3">
      <c r="B41" s="46"/>
      <c r="C41" s="15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9"/>
    </row>
    <row r="42" spans="2:14" x14ac:dyDescent="0.3">
      <c r="B42" s="46"/>
      <c r="C42" s="15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9"/>
    </row>
    <row r="43" spans="2:14" x14ac:dyDescent="0.3">
      <c r="B43" s="46"/>
      <c r="C43" s="15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9"/>
    </row>
    <row r="44" spans="2:14" x14ac:dyDescent="0.3">
      <c r="B44" s="46"/>
      <c r="C44" s="15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B26B-C10D-414F-8ABC-5A11D9385AD9}">
  <sheetPr>
    <tabColor rgb="FF002060"/>
  </sheetPr>
  <dimension ref="A2:Y107"/>
  <sheetViews>
    <sheetView showGridLines="0" topLeftCell="J7" zoomScaleNormal="100" workbookViewId="0">
      <selection activeCell="Z25" sqref="Z25"/>
    </sheetView>
  </sheetViews>
  <sheetFormatPr defaultColWidth="8.77734375" defaultRowHeight="14.4" x14ac:dyDescent="0.3"/>
  <cols>
    <col min="1" max="1" width="1.88671875" style="311" customWidth="1"/>
    <col min="2" max="9" width="8.77734375" style="310"/>
    <col min="10" max="10" width="8.5546875" style="310" bestFit="1" customWidth="1"/>
    <col min="11" max="11" width="8.77734375" style="310"/>
    <col min="12" max="12" width="15.109375" style="310" bestFit="1" customWidth="1"/>
    <col min="13" max="13" width="8.44140625" style="310" bestFit="1" customWidth="1"/>
    <col min="14" max="14" width="10.33203125" style="310" bestFit="1" customWidth="1"/>
    <col min="15" max="16" width="8.77734375" style="310"/>
    <col min="17" max="17" width="22" style="310" customWidth="1"/>
    <col min="18" max="24" width="8.77734375" style="310"/>
    <col min="25" max="25" width="15.33203125" style="310" customWidth="1"/>
    <col min="26" max="16384" width="8.77734375" style="310"/>
  </cols>
  <sheetData>
    <row r="2" spans="1:25" s="314" customFormat="1" ht="21" customHeight="1" x14ac:dyDescent="0.4">
      <c r="A2" s="352"/>
      <c r="B2" s="351" t="s">
        <v>556</v>
      </c>
    </row>
    <row r="3" spans="1:25" ht="3.6" customHeight="1" x14ac:dyDescent="0.3"/>
    <row r="4" spans="1:25" ht="14.25" customHeight="1" x14ac:dyDescent="0.3">
      <c r="A4" s="311" t="s">
        <v>503</v>
      </c>
      <c r="B4" s="356" t="s">
        <v>555</v>
      </c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</row>
    <row r="5" spans="1:25" ht="4.5" customHeight="1" x14ac:dyDescent="0.3">
      <c r="B5" s="350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</row>
    <row r="6" spans="1:25" ht="14.25" customHeight="1" x14ac:dyDescent="0.3">
      <c r="B6" s="358" t="s">
        <v>554</v>
      </c>
      <c r="C6" s="358"/>
      <c r="D6" s="358"/>
      <c r="E6" s="358"/>
      <c r="G6" s="358" t="s">
        <v>460</v>
      </c>
      <c r="H6" s="358"/>
      <c r="I6" s="358"/>
      <c r="J6" s="359"/>
      <c r="L6" s="358" t="s">
        <v>24</v>
      </c>
      <c r="M6" s="358"/>
      <c r="N6" s="359" t="s">
        <v>539</v>
      </c>
      <c r="O6" s="359" t="s">
        <v>553</v>
      </c>
      <c r="Q6" s="52" t="s">
        <v>573</v>
      </c>
    </row>
    <row r="7" spans="1:25" ht="14.25" customHeight="1" thickBot="1" x14ac:dyDescent="0.35">
      <c r="B7" s="310" t="s">
        <v>552</v>
      </c>
      <c r="E7" s="353">
        <f>J9</f>
        <v>42280</v>
      </c>
      <c r="G7" s="345" t="s">
        <v>551</v>
      </c>
      <c r="L7" s="310" t="s">
        <v>514</v>
      </c>
      <c r="N7" s="383">
        <v>4</v>
      </c>
      <c r="O7" s="381">
        <v>0.06</v>
      </c>
      <c r="Q7" s="398"/>
    </row>
    <row r="8" spans="1:25" ht="14.25" customHeight="1" thickBot="1" x14ac:dyDescent="0.35">
      <c r="B8" s="310" t="s">
        <v>543</v>
      </c>
      <c r="E8" s="379">
        <f>E9/E7</f>
        <v>10.771813055818352</v>
      </c>
      <c r="G8" s="310" t="s">
        <v>453</v>
      </c>
      <c r="J8" s="378">
        <f>' Forecasted FS&gt;'!I9</f>
        <v>178650</v>
      </c>
      <c r="L8" s="310" t="s">
        <v>550</v>
      </c>
      <c r="N8" s="383">
        <v>2</v>
      </c>
      <c r="O8" s="381">
        <v>0.12</v>
      </c>
      <c r="Q8" s="407" t="s">
        <v>558</v>
      </c>
      <c r="R8" s="405" t="s">
        <v>577</v>
      </c>
      <c r="S8" s="405"/>
      <c r="T8" s="405"/>
      <c r="U8" s="405"/>
      <c r="V8" s="405"/>
      <c r="W8" s="405"/>
      <c r="X8" s="405"/>
      <c r="Y8" s="406"/>
    </row>
    <row r="9" spans="1:25" ht="14.25" customHeight="1" x14ac:dyDescent="0.3">
      <c r="B9" s="377" t="s">
        <v>454</v>
      </c>
      <c r="C9" s="377"/>
      <c r="D9" s="377"/>
      <c r="E9" s="380">
        <f>'Comps Value'!H9</f>
        <v>455432.25599999994</v>
      </c>
      <c r="G9" s="310" t="s">
        <v>394</v>
      </c>
      <c r="J9" s="378">
        <f>' Forecasted FS&gt;'!I21</f>
        <v>42280</v>
      </c>
      <c r="K9" s="348"/>
      <c r="Q9" s="408" t="s">
        <v>559</v>
      </c>
      <c r="R9" s="399" t="s">
        <v>560</v>
      </c>
      <c r="S9" s="399"/>
      <c r="T9" s="399"/>
      <c r="U9" s="399"/>
      <c r="V9" s="399"/>
      <c r="W9" s="399"/>
      <c r="X9" s="399"/>
      <c r="Y9" s="400"/>
    </row>
    <row r="10" spans="1:25" ht="14.25" customHeight="1" x14ac:dyDescent="0.3">
      <c r="B10" s="310" t="s">
        <v>549</v>
      </c>
      <c r="E10" s="378">
        <f>' Forecasted FS&gt;'!I54-' Forecasted FS&gt;'!I66</f>
        <v>-13025</v>
      </c>
      <c r="G10" s="310" t="s">
        <v>525</v>
      </c>
      <c r="J10" s="378">
        <f>' Forecasted FS&gt;'!I27</f>
        <v>4902</v>
      </c>
      <c r="L10" s="358" t="s">
        <v>548</v>
      </c>
      <c r="M10" s="358"/>
      <c r="N10" s="359"/>
      <c r="O10" s="359"/>
      <c r="Q10" s="409"/>
      <c r="R10" s="401" t="s">
        <v>562</v>
      </c>
      <c r="S10" s="401"/>
      <c r="T10" s="401"/>
      <c r="U10" s="401"/>
      <c r="V10" s="401"/>
      <c r="W10" s="401"/>
      <c r="X10" s="401"/>
      <c r="Y10" s="402"/>
    </row>
    <row r="11" spans="1:25" ht="14.25" customHeight="1" thickBot="1" x14ac:dyDescent="0.35">
      <c r="B11" s="377" t="s">
        <v>455</v>
      </c>
      <c r="C11" s="377"/>
      <c r="D11" s="377"/>
      <c r="E11" s="380">
        <f>E9-E10</f>
        <v>468457.25599999994</v>
      </c>
      <c r="G11" s="310" t="s">
        <v>547</v>
      </c>
      <c r="J11" s="378">
        <f>' Forecasted FS&gt;'!I85</f>
        <v>-2727</v>
      </c>
      <c r="L11" s="310" t="s">
        <v>502</v>
      </c>
      <c r="O11" s="347">
        <f>O107</f>
        <v>0.11126657057906697</v>
      </c>
      <c r="Q11" s="410"/>
      <c r="R11" s="403" t="s">
        <v>563</v>
      </c>
      <c r="S11" s="403"/>
      <c r="T11" s="403"/>
      <c r="U11" s="403"/>
      <c r="V11" s="403"/>
      <c r="W11" s="403"/>
      <c r="X11" s="403"/>
      <c r="Y11" s="404"/>
    </row>
    <row r="12" spans="1:25" ht="14.25" customHeight="1" x14ac:dyDescent="0.3">
      <c r="G12" s="310" t="s">
        <v>546</v>
      </c>
      <c r="J12" s="378">
        <f>' Forecasted FS&gt;'!I64</f>
        <v>35234</v>
      </c>
      <c r="Q12" s="411" t="s">
        <v>561</v>
      </c>
      <c r="R12" s="399" t="s">
        <v>568</v>
      </c>
      <c r="S12" s="399"/>
      <c r="T12" s="399"/>
      <c r="U12" s="399"/>
      <c r="V12" s="399"/>
      <c r="W12" s="399"/>
      <c r="X12" s="399"/>
      <c r="Y12" s="400"/>
    </row>
    <row r="13" spans="1:25" ht="14.25" customHeight="1" x14ac:dyDescent="0.3">
      <c r="B13" s="310" t="s">
        <v>545</v>
      </c>
      <c r="E13" s="384">
        <v>50</v>
      </c>
      <c r="Q13" s="409"/>
      <c r="R13" s="401" t="s">
        <v>564</v>
      </c>
      <c r="S13" s="401"/>
      <c r="T13" s="401"/>
      <c r="U13" s="401"/>
      <c r="V13" s="401"/>
      <c r="W13" s="401"/>
      <c r="X13" s="401"/>
      <c r="Y13" s="402"/>
    </row>
    <row r="14" spans="1:25" ht="14.25" customHeight="1" thickBot="1" x14ac:dyDescent="0.35">
      <c r="E14" s="346"/>
      <c r="G14" s="345"/>
      <c r="Q14" s="410"/>
      <c r="R14" s="403" t="s">
        <v>570</v>
      </c>
      <c r="S14" s="403"/>
      <c r="T14" s="403"/>
      <c r="U14" s="403"/>
      <c r="V14" s="403"/>
      <c r="W14" s="403"/>
      <c r="X14" s="403"/>
      <c r="Y14" s="404"/>
    </row>
    <row r="15" spans="1:25" ht="14.25" customHeight="1" x14ac:dyDescent="0.3">
      <c r="B15" s="358" t="s">
        <v>544</v>
      </c>
      <c r="C15" s="358"/>
      <c r="D15" s="358"/>
      <c r="E15" s="358"/>
      <c r="J15" s="381"/>
      <c r="Q15" s="411" t="s">
        <v>565</v>
      </c>
      <c r="R15" s="399" t="s">
        <v>566</v>
      </c>
      <c r="S15" s="399"/>
      <c r="T15" s="399"/>
      <c r="U15" s="399"/>
      <c r="V15" s="399"/>
      <c r="W15" s="399"/>
      <c r="X15" s="399"/>
      <c r="Y15" s="400"/>
    </row>
    <row r="16" spans="1:25" ht="14.25" customHeight="1" thickBot="1" x14ac:dyDescent="0.35">
      <c r="B16" s="310" t="s">
        <v>543</v>
      </c>
      <c r="E16" s="417">
        <f>E8</f>
        <v>10.771813055818352</v>
      </c>
      <c r="J16" s="381"/>
      <c r="Q16" s="412"/>
      <c r="R16" s="403" t="s">
        <v>571</v>
      </c>
      <c r="S16" s="403"/>
      <c r="T16" s="403"/>
      <c r="U16" s="403"/>
      <c r="V16" s="403"/>
      <c r="W16" s="403"/>
      <c r="X16" s="403"/>
      <c r="Y16" s="404"/>
    </row>
    <row r="17" spans="1:25" ht="14.25" customHeight="1" x14ac:dyDescent="0.3">
      <c r="J17" s="382"/>
      <c r="Q17" s="413" t="s">
        <v>567</v>
      </c>
      <c r="R17" s="401" t="s">
        <v>569</v>
      </c>
      <c r="S17" s="401"/>
      <c r="T17" s="401"/>
      <c r="U17" s="401"/>
      <c r="V17" s="401"/>
      <c r="W17" s="401"/>
      <c r="X17" s="401"/>
      <c r="Y17" s="402"/>
    </row>
    <row r="18" spans="1:25" ht="14.25" customHeight="1" thickBot="1" x14ac:dyDescent="0.35">
      <c r="J18" s="344"/>
      <c r="Q18" s="412"/>
      <c r="R18" s="403" t="s">
        <v>572</v>
      </c>
      <c r="S18" s="403"/>
      <c r="T18" s="403"/>
      <c r="U18" s="403"/>
      <c r="V18" s="403"/>
      <c r="W18" s="403"/>
      <c r="X18" s="403"/>
      <c r="Y18" s="404"/>
    </row>
    <row r="19" spans="1:25" ht="14.25" customHeight="1" x14ac:dyDescent="0.3">
      <c r="A19" s="311" t="s">
        <v>503</v>
      </c>
      <c r="B19" s="360" t="s">
        <v>542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</row>
    <row r="20" spans="1:25" ht="3.6" customHeight="1" x14ac:dyDescent="0.3">
      <c r="J20" s="344"/>
    </row>
    <row r="21" spans="1:25" ht="14.25" customHeight="1" x14ac:dyDescent="0.3">
      <c r="B21" s="358" t="s">
        <v>541</v>
      </c>
      <c r="C21" s="358"/>
      <c r="D21" s="358"/>
      <c r="E21" s="358"/>
      <c r="F21" s="358"/>
      <c r="G21" s="358"/>
      <c r="J21" s="358" t="s">
        <v>540</v>
      </c>
      <c r="K21" s="358"/>
      <c r="L21" s="358"/>
      <c r="M21" s="358"/>
      <c r="N21" s="358"/>
      <c r="O21" s="358"/>
      <c r="Q21" s="26" t="s">
        <v>574</v>
      </c>
    </row>
    <row r="22" spans="1:25" ht="14.25" customHeight="1" thickBot="1" x14ac:dyDescent="0.35">
      <c r="E22" s="343" t="s">
        <v>539</v>
      </c>
      <c r="F22" s="343" t="s">
        <v>538</v>
      </c>
      <c r="G22" s="343" t="s">
        <v>537</v>
      </c>
      <c r="M22" s="343" t="s">
        <v>539</v>
      </c>
      <c r="N22" s="343" t="s">
        <v>538</v>
      </c>
      <c r="O22" s="343" t="s">
        <v>537</v>
      </c>
      <c r="Q22" s="398"/>
    </row>
    <row r="23" spans="1:25" ht="14.25" customHeight="1" thickBot="1" x14ac:dyDescent="0.35">
      <c r="B23" s="310" t="str">
        <f>L7</f>
        <v>Bank Debt</v>
      </c>
      <c r="E23" s="313">
        <f>N7*$J$9</f>
        <v>169120</v>
      </c>
      <c r="F23" s="340">
        <f>IFERROR(E23/J9,0)</f>
        <v>4</v>
      </c>
      <c r="G23" s="336">
        <f>IFERROR(E23/($E$25+$E$27),0)</f>
        <v>0.37129876690520303</v>
      </c>
      <c r="L23" s="312" t="s">
        <v>454</v>
      </c>
      <c r="M23" s="312">
        <f>E9</f>
        <v>455432.25599999994</v>
      </c>
      <c r="N23" s="341">
        <f>J9/M23*100</f>
        <v>9.2834882560448246</v>
      </c>
      <c r="O23" s="336">
        <f>M23/$M$25</f>
        <v>0.99989022623968038</v>
      </c>
      <c r="P23" s="310">
        <v>1</v>
      </c>
      <c r="Q23" s="414" t="s">
        <v>575</v>
      </c>
      <c r="R23" s="415"/>
      <c r="S23" s="415"/>
      <c r="T23" s="415"/>
      <c r="U23" s="415"/>
      <c r="V23" s="415"/>
      <c r="W23" s="415"/>
      <c r="X23" s="415"/>
      <c r="Y23" s="416"/>
    </row>
    <row r="24" spans="1:25" ht="14.25" customHeight="1" thickBot="1" x14ac:dyDescent="0.35">
      <c r="B24" s="310" t="str">
        <f>L8</f>
        <v>Senior Notes</v>
      </c>
      <c r="C24" s="321"/>
      <c r="D24" s="321"/>
      <c r="E24" s="313">
        <f>N8*$J$9</f>
        <v>84560</v>
      </c>
      <c r="F24" s="340">
        <f>IFERROR(E24/J9,0)</f>
        <v>2</v>
      </c>
      <c r="G24" s="336">
        <f>IFERROR(E24/($E$25+$E$27),0)</f>
        <v>0.18564938345260151</v>
      </c>
      <c r="L24" s="312" t="s">
        <v>545</v>
      </c>
      <c r="M24" s="342">
        <f>E13</f>
        <v>50</v>
      </c>
      <c r="N24" s="397">
        <v>0</v>
      </c>
      <c r="O24" s="336">
        <f>M24/$M$25</f>
        <v>1.0977376031965559E-4</v>
      </c>
      <c r="P24" s="310">
        <v>2</v>
      </c>
      <c r="Q24" s="414" t="s">
        <v>576</v>
      </c>
      <c r="R24" s="415"/>
      <c r="S24" s="415"/>
      <c r="T24" s="415"/>
      <c r="U24" s="415"/>
      <c r="V24" s="415"/>
      <c r="W24" s="415"/>
      <c r="X24" s="415"/>
      <c r="Y24" s="416"/>
    </row>
    <row r="25" spans="1:25" ht="14.25" customHeight="1" thickBot="1" x14ac:dyDescent="0.35">
      <c r="B25" s="386" t="s">
        <v>5</v>
      </c>
      <c r="C25" s="386"/>
      <c r="D25" s="386"/>
      <c r="E25" s="389">
        <f>SUM(E23:E24)</f>
        <v>253680</v>
      </c>
      <c r="F25" s="423">
        <f>IFERROR(E25/J9,0)</f>
        <v>6</v>
      </c>
      <c r="G25" s="418">
        <f>IFERROR(E25/($E$25+$E$27),0)</f>
        <v>0.55694815035780454</v>
      </c>
      <c r="L25" s="419" t="s">
        <v>557</v>
      </c>
      <c r="M25" s="420">
        <f>SUM(M23:M24)</f>
        <v>455482.25599999994</v>
      </c>
      <c r="N25" s="421">
        <f>SUM(N23:N24)</f>
        <v>9.2834882560448246</v>
      </c>
      <c r="O25" s="422">
        <f>M25/$M$25</f>
        <v>1</v>
      </c>
      <c r="P25" s="310">
        <v>3</v>
      </c>
      <c r="Q25" s="414" t="s">
        <v>578</v>
      </c>
      <c r="R25" s="415"/>
      <c r="S25" s="415"/>
      <c r="T25" s="415"/>
      <c r="U25" s="415"/>
      <c r="V25" s="415"/>
      <c r="W25" s="415"/>
      <c r="X25" s="415"/>
      <c r="Y25" s="416"/>
    </row>
    <row r="26" spans="1:25" ht="14.25" customHeight="1" x14ac:dyDescent="0.3">
      <c r="G26" s="336"/>
      <c r="M26" s="316"/>
      <c r="N26" s="338"/>
      <c r="O26" s="337"/>
      <c r="P26" s="310">
        <v>4</v>
      </c>
      <c r="Q26" s="424" t="s">
        <v>579</v>
      </c>
      <c r="R26" s="391"/>
      <c r="S26" s="391"/>
      <c r="T26" s="391"/>
      <c r="U26" s="391"/>
      <c r="V26" s="391"/>
      <c r="W26" s="391"/>
      <c r="X26" s="391"/>
      <c r="Y26" s="425"/>
    </row>
    <row r="27" spans="1:25" ht="14.25" customHeight="1" x14ac:dyDescent="0.3">
      <c r="B27" s="310" t="s">
        <v>536</v>
      </c>
      <c r="E27" s="313">
        <f>E9+E13-E25</f>
        <v>201802.25599999994</v>
      </c>
      <c r="F27" s="340">
        <f>IFERROR(E27/J9,0)</f>
        <v>4.7729956480605473</v>
      </c>
      <c r="G27" s="336">
        <f t="shared" ref="G27" si="0">IFERROR(E27/($E$25+$E$27),0)</f>
        <v>0.44305184964219541</v>
      </c>
      <c r="M27" s="339"/>
      <c r="Q27" s="426" t="s">
        <v>580</v>
      </c>
      <c r="Y27" s="427"/>
    </row>
    <row r="28" spans="1:25" ht="14.25" customHeight="1" thickBot="1" x14ac:dyDescent="0.35">
      <c r="E28" s="321"/>
      <c r="F28" s="338"/>
      <c r="G28" s="337"/>
      <c r="M28" s="321"/>
      <c r="N28" s="338"/>
      <c r="O28" s="337"/>
      <c r="Q28" s="426" t="s">
        <v>581</v>
      </c>
      <c r="Y28" s="427"/>
    </row>
    <row r="29" spans="1:25" ht="14.25" customHeight="1" thickBot="1" x14ac:dyDescent="0.35">
      <c r="B29" s="373" t="s">
        <v>535</v>
      </c>
      <c r="C29" s="373"/>
      <c r="D29" s="373"/>
      <c r="E29" s="374">
        <f>SUM(E25:E28)</f>
        <v>455482.25599999994</v>
      </c>
      <c r="F29" s="375">
        <f>IFERROR(E29/J9,0)</f>
        <v>10.772995648060547</v>
      </c>
      <c r="G29" s="376">
        <f>SUM(G25:G28)</f>
        <v>1</v>
      </c>
      <c r="J29" s="363"/>
      <c r="K29" s="363"/>
      <c r="L29" s="363"/>
      <c r="M29" s="364"/>
      <c r="N29" s="365"/>
      <c r="O29" s="366"/>
      <c r="Q29" s="428" t="s">
        <v>582</v>
      </c>
      <c r="R29" s="429"/>
      <c r="S29" s="429"/>
      <c r="T29" s="429"/>
      <c r="U29" s="429"/>
      <c r="V29" s="429"/>
      <c r="W29" s="429"/>
      <c r="X29" s="429"/>
      <c r="Y29" s="430"/>
    </row>
    <row r="30" spans="1:25" ht="14.25" customHeight="1" x14ac:dyDescent="0.3">
      <c r="E30" s="321"/>
      <c r="F30" s="338"/>
      <c r="G30" s="337"/>
      <c r="L30" s="321"/>
      <c r="M30" s="338"/>
      <c r="N30" s="337"/>
    </row>
    <row r="32" spans="1:25" ht="13.8" customHeight="1" x14ac:dyDescent="0.3">
      <c r="A32" s="311" t="s">
        <v>503</v>
      </c>
      <c r="B32" s="360" t="s">
        <v>460</v>
      </c>
      <c r="C32" s="361"/>
      <c r="D32" s="361"/>
      <c r="E32" s="361"/>
      <c r="F32" s="361"/>
      <c r="G32" s="361"/>
      <c r="H32" s="361"/>
      <c r="I32" s="361"/>
      <c r="J32" s="361"/>
      <c r="K32" s="361"/>
      <c r="L32" s="361"/>
      <c r="M32" s="361"/>
      <c r="N32" s="361"/>
      <c r="O32" s="361"/>
    </row>
    <row r="33" spans="1:15" s="368" customFormat="1" ht="3" customHeight="1" x14ac:dyDescent="0.3">
      <c r="A33" s="367"/>
    </row>
    <row r="34" spans="1:15" ht="3" customHeight="1" x14ac:dyDescent="0.3"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2"/>
    </row>
    <row r="35" spans="1:15" ht="14.25" customHeight="1" x14ac:dyDescent="0.3">
      <c r="B35" s="358" t="s">
        <v>534</v>
      </c>
      <c r="C35" s="358"/>
      <c r="D35" s="358"/>
      <c r="E35" s="358"/>
      <c r="F35" s="358"/>
      <c r="G35" s="358"/>
      <c r="H35" s="358"/>
      <c r="I35" s="358"/>
      <c r="J35" s="359" t="s">
        <v>520</v>
      </c>
      <c r="K35" s="359" t="s">
        <v>519</v>
      </c>
      <c r="L35" s="359" t="s">
        <v>518</v>
      </c>
      <c r="M35" s="359" t="s">
        <v>517</v>
      </c>
      <c r="N35" s="359" t="s">
        <v>516</v>
      </c>
      <c r="O35" s="359" t="s">
        <v>515</v>
      </c>
    </row>
    <row r="36" spans="1:15" ht="14.25" customHeight="1" x14ac:dyDescent="0.3">
      <c r="B36" s="310" t="s">
        <v>453</v>
      </c>
      <c r="J36" s="324">
        <f>J8</f>
        <v>178650</v>
      </c>
      <c r="K36" s="313">
        <f>' Forecasted FS&gt;'!I9</f>
        <v>178650</v>
      </c>
      <c r="L36" s="313">
        <f>' Forecasted FS&gt;'!J9</f>
        <v>196517.57142857142</v>
      </c>
      <c r="M36" s="313">
        <f>' Forecasted FS&gt;'!K9</f>
        <v>211540.49999999997</v>
      </c>
      <c r="N36" s="313">
        <f>' Forecasted FS&gt;'!L9</f>
        <v>226563.42857142855</v>
      </c>
      <c r="O36" s="313">
        <f>' Forecasted FS&gt;'!M9</f>
        <v>241586.35714285713</v>
      </c>
    </row>
    <row r="37" spans="1:15" ht="14.25" customHeight="1" x14ac:dyDescent="0.3">
      <c r="B37" s="322" t="s">
        <v>533</v>
      </c>
      <c r="J37" s="318" t="s">
        <v>401</v>
      </c>
      <c r="K37" s="323">
        <f>IFERROR(K36/J36-1,0)</f>
        <v>0</v>
      </c>
      <c r="L37" s="323">
        <f>IFERROR(L36/K36-1,0)</f>
        <v>0.10001439366678655</v>
      </c>
      <c r="M37" s="323">
        <f>IFERROR(M36/L36-1,0)</f>
        <v>7.6445726772524036E-2</v>
      </c>
      <c r="N37" s="323">
        <f>IFERROR(N36/M36-1,0)</f>
        <v>7.1016796175808361E-2</v>
      </c>
      <c r="O37" s="323">
        <f>IFERROR(O36/N36-1,0)</f>
        <v>6.6307826758069677E-2</v>
      </c>
    </row>
    <row r="38" spans="1:15" ht="14.25" customHeight="1" x14ac:dyDescent="0.3">
      <c r="J38" s="319"/>
    </row>
    <row r="39" spans="1:15" ht="14.25" customHeight="1" x14ac:dyDescent="0.3">
      <c r="B39" s="312" t="s">
        <v>394</v>
      </c>
      <c r="J39" s="324">
        <f>J9</f>
        <v>42280</v>
      </c>
      <c r="K39" s="313">
        <f>' Forecasted FS&gt;'!I21</f>
        <v>42280</v>
      </c>
      <c r="L39" s="313">
        <f>' Forecasted FS&gt;'!J21</f>
        <v>46055.000000000007</v>
      </c>
      <c r="M39" s="313">
        <f>' Forecasted FS&gt;'!K21</f>
        <v>49185.964285714239</v>
      </c>
      <c r="N39" s="313">
        <f>' Forecasted FS&gt;'!L21</f>
        <v>52316.928571428558</v>
      </c>
      <c r="O39" s="313">
        <f>' Forecasted FS&gt;'!M21</f>
        <v>55447.892857142848</v>
      </c>
    </row>
    <row r="40" spans="1:15" ht="14.25" customHeight="1" x14ac:dyDescent="0.3">
      <c r="B40" s="322" t="s">
        <v>527</v>
      </c>
      <c r="J40" s="396">
        <f>IFERROR(J9/J8,0)</f>
        <v>0.23666386789812482</v>
      </c>
      <c r="K40" s="336">
        <f>J40+$J$16</f>
        <v>0.23666386789812482</v>
      </c>
      <c r="L40" s="336">
        <f>K40+$J$16</f>
        <v>0.23666386789812482</v>
      </c>
      <c r="M40" s="336">
        <f>L40+$J$16</f>
        <v>0.23666386789812482</v>
      </c>
      <c r="N40" s="336">
        <f>M40+$J$16</f>
        <v>0.23666386789812482</v>
      </c>
      <c r="O40" s="336">
        <f>N40+$J$16</f>
        <v>0.23666386789812482</v>
      </c>
    </row>
    <row r="41" spans="1:15" ht="14.25" customHeight="1" x14ac:dyDescent="0.3">
      <c r="J41" s="319"/>
    </row>
    <row r="42" spans="1:15" ht="14.25" customHeight="1" x14ac:dyDescent="0.3">
      <c r="B42" s="310" t="s">
        <v>250</v>
      </c>
      <c r="J42" s="317">
        <f>J39-J57</f>
        <v>37378</v>
      </c>
      <c r="K42" s="313">
        <f>' Forecasted FS&gt;'!I48</f>
        <v>37378</v>
      </c>
      <c r="L42" s="313">
        <f>' Forecasted FS&gt;'!J48</f>
        <v>40544.71428571429</v>
      </c>
      <c r="M42" s="313">
        <f>' Forecasted FS&gt;'!K48</f>
        <v>43307.142857142811</v>
      </c>
      <c r="N42" s="313">
        <f>' Forecasted FS&gt;'!L48</f>
        <v>46069.571428571413</v>
      </c>
      <c r="O42" s="313">
        <f>' Forecasted FS&gt;'!M48</f>
        <v>48831.999999999993</v>
      </c>
    </row>
    <row r="43" spans="1:15" ht="14.25" customHeight="1" x14ac:dyDescent="0.3">
      <c r="B43" s="322" t="s">
        <v>527</v>
      </c>
      <c r="J43" s="329">
        <f t="shared" ref="J43:O43" si="1">IFERROR(J42/J36,0)</f>
        <v>0.20922474111390987</v>
      </c>
      <c r="K43" s="323">
        <f t="shared" si="1"/>
        <v>0.20922474111390987</v>
      </c>
      <c r="L43" s="323">
        <f t="shared" si="1"/>
        <v>0.2063159746529391</v>
      </c>
      <c r="M43" s="323">
        <f t="shared" si="1"/>
        <v>0.20472270254226882</v>
      </c>
      <c r="N43" s="323">
        <f t="shared" si="1"/>
        <v>0.20334072325378444</v>
      </c>
      <c r="O43" s="323">
        <f t="shared" si="1"/>
        <v>0.20213061936740159</v>
      </c>
    </row>
    <row r="44" spans="1:15" ht="14.25" customHeight="1" x14ac:dyDescent="0.3">
      <c r="B44" s="322"/>
      <c r="J44" s="335"/>
      <c r="K44" s="334"/>
      <c r="L44" s="334"/>
      <c r="M44" s="334"/>
      <c r="N44" s="334"/>
      <c r="O44" s="334"/>
    </row>
    <row r="45" spans="1:15" ht="14.25" customHeight="1" x14ac:dyDescent="0.3">
      <c r="B45" s="310" t="s">
        <v>246</v>
      </c>
      <c r="J45" s="318">
        <f>0</f>
        <v>0</v>
      </c>
      <c r="K45" s="385">
        <f>K92</f>
        <v>20294.399999999998</v>
      </c>
      <c r="L45" s="385">
        <f t="shared" ref="L45:O45" si="2">L92</f>
        <v>20929.90433461393</v>
      </c>
      <c r="M45" s="385">
        <f t="shared" si="2"/>
        <v>21757.341328305436</v>
      </c>
      <c r="N45" s="385">
        <f t="shared" si="2"/>
        <v>22564.906103875983</v>
      </c>
      <c r="O45" s="385">
        <f t="shared" si="2"/>
        <v>23394.136528741597</v>
      </c>
    </row>
    <row r="46" spans="1:15" ht="14.25" customHeight="1" x14ac:dyDescent="0.3">
      <c r="J46" s="333"/>
      <c r="K46" s="312"/>
      <c r="L46" s="312"/>
      <c r="M46" s="312"/>
      <c r="N46" s="312"/>
      <c r="O46" s="312"/>
    </row>
    <row r="47" spans="1:15" ht="14.25" customHeight="1" x14ac:dyDescent="0.3">
      <c r="B47" s="310" t="s">
        <v>532</v>
      </c>
      <c r="J47" s="317">
        <f t="shared" ref="J47:O47" si="3">J42-J45</f>
        <v>37378</v>
      </c>
      <c r="K47" s="313">
        <f t="shared" si="3"/>
        <v>17083.600000000002</v>
      </c>
      <c r="L47" s="313">
        <f t="shared" si="3"/>
        <v>19614.80995110036</v>
      </c>
      <c r="M47" s="313">
        <f t="shared" si="3"/>
        <v>21549.801528837375</v>
      </c>
      <c r="N47" s="313">
        <f t="shared" si="3"/>
        <v>23504.66532469543</v>
      </c>
      <c r="O47" s="313">
        <f t="shared" si="3"/>
        <v>25437.863471258395</v>
      </c>
    </row>
    <row r="48" spans="1:15" ht="14.25" customHeight="1" x14ac:dyDescent="0.3">
      <c r="B48" s="322" t="s">
        <v>527</v>
      </c>
      <c r="J48" s="329">
        <f t="shared" ref="J48:O48" si="4">IFERROR(J47/J36,0)</f>
        <v>0.20922474111390987</v>
      </c>
      <c r="K48" s="323">
        <f t="shared" si="4"/>
        <v>9.5626084522809976E-2</v>
      </c>
      <c r="L48" s="323">
        <f t="shared" si="4"/>
        <v>9.9811990391046476E-2</v>
      </c>
      <c r="M48" s="323">
        <f t="shared" si="4"/>
        <v>0.1018708073812692</v>
      </c>
      <c r="N48" s="323">
        <f t="shared" si="4"/>
        <v>0.10374430451066874</v>
      </c>
      <c r="O48" s="323">
        <f t="shared" si="4"/>
        <v>0.10529511588361853</v>
      </c>
    </row>
    <row r="49" spans="1:15" ht="14.25" customHeight="1" x14ac:dyDescent="0.3">
      <c r="J49" s="332"/>
      <c r="K49" s="312"/>
      <c r="L49" s="312"/>
      <c r="M49" s="312"/>
      <c r="N49" s="312"/>
      <c r="O49" s="312"/>
    </row>
    <row r="50" spans="1:15" ht="14.25" customHeight="1" x14ac:dyDescent="0.3">
      <c r="B50" s="310" t="s">
        <v>531</v>
      </c>
      <c r="J50" s="317">
        <f>J47*J17</f>
        <v>0</v>
      </c>
      <c r="K50" s="313">
        <f>K47*K51</f>
        <v>4862.7389102321313</v>
      </c>
      <c r="L50" s="313">
        <f t="shared" ref="L50:O50" si="5">L47*L51</f>
        <v>5978.7608408399083</v>
      </c>
      <c r="M50" s="313">
        <f t="shared" si="5"/>
        <v>6593.8921649517306</v>
      </c>
      <c r="N50" s="313">
        <f t="shared" si="5"/>
        <v>7216.3809075098379</v>
      </c>
      <c r="O50" s="313">
        <f t="shared" si="5"/>
        <v>7833.2786447282042</v>
      </c>
    </row>
    <row r="51" spans="1:15" ht="14.25" customHeight="1" x14ac:dyDescent="0.3">
      <c r="B51" s="322" t="s">
        <v>530</v>
      </c>
      <c r="J51" s="329">
        <f>J17</f>
        <v>0</v>
      </c>
      <c r="K51" s="323">
        <f>' Forecasted FS&gt;'!I34</f>
        <v>0.28464368811211516</v>
      </c>
      <c r="L51" s="323">
        <f>' Forecasted FS&gt;'!J34</f>
        <v>0.30480850213409838</v>
      </c>
      <c r="M51" s="323">
        <f>' Forecasted FS&gt;'!K34</f>
        <v>0.30598389298982442</v>
      </c>
      <c r="N51" s="323">
        <f>' Forecasted FS&gt;'!L34</f>
        <v>0.3070190878203175</v>
      </c>
      <c r="O51" s="323">
        <f>' Forecasted FS&gt;'!M34</f>
        <v>0.30793775796378614</v>
      </c>
    </row>
    <row r="52" spans="1:15" ht="14.25" customHeight="1" x14ac:dyDescent="0.3">
      <c r="B52" s="322"/>
      <c r="J52" s="331"/>
      <c r="K52" s="330"/>
      <c r="L52" s="330"/>
      <c r="M52" s="330"/>
      <c r="N52" s="330"/>
      <c r="O52" s="330"/>
    </row>
    <row r="53" spans="1:15" ht="14.25" customHeight="1" x14ac:dyDescent="0.3">
      <c r="B53" s="310" t="s">
        <v>526</v>
      </c>
      <c r="J53" s="317">
        <f t="shared" ref="J53:O53" si="6">J47-J50</f>
        <v>37378</v>
      </c>
      <c r="K53" s="313">
        <f t="shared" si="6"/>
        <v>12220.86108976787</v>
      </c>
      <c r="L53" s="313">
        <f t="shared" si="6"/>
        <v>13636.049110260452</v>
      </c>
      <c r="M53" s="313">
        <f t="shared" si="6"/>
        <v>14955.909363885645</v>
      </c>
      <c r="N53" s="313">
        <f t="shared" si="6"/>
        <v>16288.284417185592</v>
      </c>
      <c r="O53" s="313">
        <f t="shared" si="6"/>
        <v>17604.58482653019</v>
      </c>
    </row>
    <row r="54" spans="1:15" ht="14.25" customHeight="1" x14ac:dyDescent="0.3">
      <c r="B54" s="322" t="s">
        <v>527</v>
      </c>
      <c r="J54" s="329">
        <f t="shared" ref="J54:O54" si="7">IFERROR(J53/J36,0)</f>
        <v>0.20922474111390987</v>
      </c>
      <c r="K54" s="323">
        <f t="shared" si="7"/>
        <v>6.8406723144516485E-2</v>
      </c>
      <c r="L54" s="323">
        <f t="shared" si="7"/>
        <v>6.9388447104928586E-2</v>
      </c>
      <c r="M54" s="323">
        <f t="shared" si="7"/>
        <v>7.0699981156731914E-2</v>
      </c>
      <c r="N54" s="323">
        <f t="shared" si="7"/>
        <v>7.1892822773249973E-2</v>
      </c>
      <c r="O54" s="323">
        <f t="shared" si="7"/>
        <v>7.287077397387999E-2</v>
      </c>
    </row>
    <row r="55" spans="1:15" ht="14.25" customHeight="1" x14ac:dyDescent="0.3">
      <c r="B55" s="322"/>
      <c r="J55" s="319"/>
    </row>
    <row r="56" spans="1:15" ht="14.25" customHeight="1" x14ac:dyDescent="0.3">
      <c r="A56" s="311" t="s">
        <v>503</v>
      </c>
      <c r="B56" s="354" t="s">
        <v>529</v>
      </c>
      <c r="C56" s="354"/>
      <c r="D56" s="354"/>
      <c r="E56" s="354"/>
      <c r="F56" s="354"/>
      <c r="G56" s="354"/>
      <c r="H56" s="354"/>
      <c r="I56" s="354"/>
      <c r="J56" s="355" t="s">
        <v>520</v>
      </c>
      <c r="K56" s="355" t="s">
        <v>519</v>
      </c>
      <c r="L56" s="355" t="s">
        <v>518</v>
      </c>
      <c r="M56" s="355" t="s">
        <v>517</v>
      </c>
      <c r="N56" s="355" t="s">
        <v>516</v>
      </c>
      <c r="O56" s="355" t="s">
        <v>515</v>
      </c>
    </row>
    <row r="57" spans="1:15" ht="14.25" customHeight="1" x14ac:dyDescent="0.3">
      <c r="B57" s="310" t="s">
        <v>525</v>
      </c>
      <c r="J57" s="326">
        <f>J10</f>
        <v>4902</v>
      </c>
      <c r="K57" s="313">
        <f>K36*K58</f>
        <v>4902</v>
      </c>
      <c r="L57" s="313">
        <f>L36*L58</f>
        <v>5392.2705577545876</v>
      </c>
      <c r="M57" s="313">
        <f>M36*M58</f>
        <v>5804.4865994962202</v>
      </c>
      <c r="N57" s="313">
        <f>N36*N58</f>
        <v>6216.7026412378546</v>
      </c>
      <c r="O57" s="313">
        <f>O36*O58</f>
        <v>6628.918682979488</v>
      </c>
    </row>
    <row r="58" spans="1:15" ht="14.25" customHeight="1" x14ac:dyDescent="0.3">
      <c r="B58" s="322" t="s">
        <v>527</v>
      </c>
      <c r="J58" s="328">
        <f>IFERROR(J10/J8,0)</f>
        <v>2.7439126784214944E-2</v>
      </c>
      <c r="K58" s="323">
        <f>J58</f>
        <v>2.7439126784214944E-2</v>
      </c>
      <c r="L58" s="323">
        <f>J58</f>
        <v>2.7439126784214944E-2</v>
      </c>
      <c r="M58" s="323">
        <f>J58</f>
        <v>2.7439126784214944E-2</v>
      </c>
      <c r="N58" s="323">
        <f>J58</f>
        <v>2.7439126784214944E-2</v>
      </c>
      <c r="O58" s="323">
        <f>J58</f>
        <v>2.7439126784214944E-2</v>
      </c>
    </row>
    <row r="59" spans="1:15" ht="14.25" customHeight="1" x14ac:dyDescent="0.3">
      <c r="B59" s="322"/>
      <c r="J59" s="327"/>
    </row>
    <row r="60" spans="1:15" ht="14.25" customHeight="1" x14ac:dyDescent="0.3">
      <c r="B60" s="310" t="s">
        <v>239</v>
      </c>
      <c r="J60" s="326">
        <f>J12</f>
        <v>35234</v>
      </c>
      <c r="K60" s="313">
        <f>K36*K61</f>
        <v>35234</v>
      </c>
      <c r="L60" s="313">
        <f>L36*L61</f>
        <v>38757.90714645556</v>
      </c>
      <c r="M60" s="313">
        <f>M36*M61</f>
        <v>41720.783526448358</v>
      </c>
      <c r="N60" s="313">
        <f>N36*N61</f>
        <v>44683.659906441164</v>
      </c>
      <c r="O60" s="313">
        <f>O36*O61</f>
        <v>47646.53628643397</v>
      </c>
    </row>
    <row r="61" spans="1:15" ht="14.25" customHeight="1" x14ac:dyDescent="0.3">
      <c r="B61" s="322" t="s">
        <v>527</v>
      </c>
      <c r="J61" s="325">
        <f>IFERROR(J12/J8,0)</f>
        <v>0.19722362160649315</v>
      </c>
      <c r="K61" s="323">
        <f>J61</f>
        <v>0.19722362160649315</v>
      </c>
      <c r="L61" s="323">
        <f>J61</f>
        <v>0.19722362160649315</v>
      </c>
      <c r="M61" s="323">
        <f>J61</f>
        <v>0.19722362160649315</v>
      </c>
      <c r="N61" s="323">
        <f>J61</f>
        <v>0.19722362160649315</v>
      </c>
      <c r="O61" s="323">
        <f>J61</f>
        <v>0.19722362160649315</v>
      </c>
    </row>
    <row r="62" spans="1:15" ht="14.25" customHeight="1" x14ac:dyDescent="0.3">
      <c r="B62" s="310" t="s">
        <v>528</v>
      </c>
      <c r="J62" s="318">
        <f>0</f>
        <v>0</v>
      </c>
      <c r="K62" s="313">
        <f>-(K60-J60)</f>
        <v>0</v>
      </c>
      <c r="L62" s="313">
        <f>-(L60-K60)</f>
        <v>-3523.90714645556</v>
      </c>
      <c r="M62" s="313">
        <f>-(M60-L60)</f>
        <v>-2962.8763799927983</v>
      </c>
      <c r="N62" s="313">
        <f>-(N60-M60)</f>
        <v>-2962.8763799928056</v>
      </c>
      <c r="O62" s="313">
        <f>-(O60-N60)</f>
        <v>-2962.8763799928056</v>
      </c>
    </row>
    <row r="63" spans="1:15" ht="14.25" customHeight="1" x14ac:dyDescent="0.3">
      <c r="B63" s="322"/>
      <c r="J63" s="319"/>
      <c r="K63" s="312"/>
      <c r="L63" s="312"/>
      <c r="M63" s="312"/>
      <c r="N63" s="312"/>
      <c r="O63" s="312"/>
    </row>
    <row r="64" spans="1:15" ht="14.25" customHeight="1" x14ac:dyDescent="0.3">
      <c r="B64" s="310" t="s">
        <v>524</v>
      </c>
      <c r="J64" s="324">
        <f>-J11</f>
        <v>2727</v>
      </c>
      <c r="K64" s="313">
        <f>-K36*K65</f>
        <v>2727</v>
      </c>
      <c r="L64" s="313">
        <f>-L36*L65</f>
        <v>2999.7392515293272</v>
      </c>
      <c r="M64" s="313">
        <f>-M36*M65</f>
        <v>3229.0564987405537</v>
      </c>
      <c r="N64" s="313">
        <f>-N36*N65</f>
        <v>3458.3737459517811</v>
      </c>
      <c r="O64" s="313">
        <f>-O36*O65</f>
        <v>3687.690993163008</v>
      </c>
    </row>
    <row r="65" spans="1:15" ht="14.25" customHeight="1" x14ac:dyDescent="0.3">
      <c r="B65" s="322" t="s">
        <v>527</v>
      </c>
      <c r="J65" s="395">
        <f>IFERROR(J11/J8,0)</f>
        <v>-1.5264483627204031E-2</v>
      </c>
      <c r="K65" s="394">
        <f>J65</f>
        <v>-1.5264483627204031E-2</v>
      </c>
      <c r="L65" s="394">
        <f t="shared" ref="L65:O65" si="8">K65</f>
        <v>-1.5264483627204031E-2</v>
      </c>
      <c r="M65" s="394">
        <f t="shared" si="8"/>
        <v>-1.5264483627204031E-2</v>
      </c>
      <c r="N65" s="394">
        <f t="shared" si="8"/>
        <v>-1.5264483627204031E-2</v>
      </c>
      <c r="O65" s="394">
        <f t="shared" si="8"/>
        <v>-1.5264483627204031E-2</v>
      </c>
    </row>
    <row r="66" spans="1:15" ht="14.25" customHeight="1" x14ac:dyDescent="0.3">
      <c r="C66" s="322"/>
      <c r="J66" s="319"/>
    </row>
    <row r="67" spans="1:15" ht="14.25" customHeight="1" x14ac:dyDescent="0.3">
      <c r="A67" s="311" t="s">
        <v>503</v>
      </c>
      <c r="B67" s="354" t="s">
        <v>522</v>
      </c>
      <c r="C67" s="354"/>
      <c r="D67" s="354"/>
      <c r="E67" s="354"/>
      <c r="F67" s="354"/>
      <c r="G67" s="354"/>
      <c r="H67" s="354"/>
      <c r="I67" s="354"/>
      <c r="J67" s="355" t="s">
        <v>520</v>
      </c>
      <c r="K67" s="355" t="s">
        <v>519</v>
      </c>
      <c r="L67" s="355" t="s">
        <v>518</v>
      </c>
      <c r="M67" s="355" t="s">
        <v>517</v>
      </c>
      <c r="N67" s="355" t="s">
        <v>516</v>
      </c>
      <c r="O67" s="355" t="s">
        <v>515</v>
      </c>
    </row>
    <row r="68" spans="1:15" ht="14.25" customHeight="1" x14ac:dyDescent="0.3">
      <c r="B68" s="310" t="s">
        <v>526</v>
      </c>
      <c r="J68" s="317">
        <f t="shared" ref="J68:O68" si="9">J53</f>
        <v>37378</v>
      </c>
      <c r="K68" s="313">
        <f t="shared" si="9"/>
        <v>12220.86108976787</v>
      </c>
      <c r="L68" s="313">
        <f t="shared" si="9"/>
        <v>13636.049110260452</v>
      </c>
      <c r="M68" s="313">
        <f t="shared" si="9"/>
        <v>14955.909363885645</v>
      </c>
      <c r="N68" s="313">
        <f t="shared" si="9"/>
        <v>16288.284417185592</v>
      </c>
      <c r="O68" s="313">
        <f t="shared" si="9"/>
        <v>17604.58482653019</v>
      </c>
    </row>
    <row r="69" spans="1:15" ht="14.25" customHeight="1" x14ac:dyDescent="0.3">
      <c r="B69" s="310" t="s">
        <v>525</v>
      </c>
      <c r="J69" s="317">
        <f t="shared" ref="J69:O69" si="10">J57</f>
        <v>4902</v>
      </c>
      <c r="K69" s="313">
        <f t="shared" si="10"/>
        <v>4902</v>
      </c>
      <c r="L69" s="313">
        <f t="shared" si="10"/>
        <v>5392.2705577545876</v>
      </c>
      <c r="M69" s="313">
        <f t="shared" si="10"/>
        <v>5804.4865994962202</v>
      </c>
      <c r="N69" s="313">
        <f t="shared" si="10"/>
        <v>6216.7026412378546</v>
      </c>
      <c r="O69" s="313">
        <f t="shared" si="10"/>
        <v>6628.918682979488</v>
      </c>
    </row>
    <row r="70" spans="1:15" ht="14.25" customHeight="1" x14ac:dyDescent="0.3">
      <c r="B70" s="310" t="s">
        <v>524</v>
      </c>
      <c r="J70" s="317">
        <f t="shared" ref="J70:O70" si="11">J64</f>
        <v>2727</v>
      </c>
      <c r="K70" s="313">
        <f t="shared" si="11"/>
        <v>2727</v>
      </c>
      <c r="L70" s="313">
        <f t="shared" si="11"/>
        <v>2999.7392515293272</v>
      </c>
      <c r="M70" s="313">
        <f t="shared" si="11"/>
        <v>3229.0564987405537</v>
      </c>
      <c r="N70" s="313">
        <f t="shared" si="11"/>
        <v>3458.3737459517811</v>
      </c>
      <c r="O70" s="313">
        <f t="shared" si="11"/>
        <v>3687.690993163008</v>
      </c>
    </row>
    <row r="71" spans="1:15" ht="14.25" customHeight="1" thickBot="1" x14ac:dyDescent="0.35">
      <c r="B71" s="310" t="s">
        <v>523</v>
      </c>
      <c r="J71" s="318">
        <f t="shared" ref="J71:O71" si="12">J62</f>
        <v>0</v>
      </c>
      <c r="K71" s="313">
        <f t="shared" si="12"/>
        <v>0</v>
      </c>
      <c r="L71" s="313">
        <f t="shared" si="12"/>
        <v>-3523.90714645556</v>
      </c>
      <c r="M71" s="313">
        <f t="shared" si="12"/>
        <v>-2962.8763799927983</v>
      </c>
      <c r="N71" s="313">
        <f t="shared" si="12"/>
        <v>-2962.8763799928056</v>
      </c>
      <c r="O71" s="313">
        <f t="shared" si="12"/>
        <v>-2962.8763799928056</v>
      </c>
    </row>
    <row r="72" spans="1:15" ht="14.25" customHeight="1" thickBot="1" x14ac:dyDescent="0.35">
      <c r="B72" s="369" t="s">
        <v>522</v>
      </c>
      <c r="C72" s="369"/>
      <c r="D72" s="369"/>
      <c r="E72" s="369"/>
      <c r="F72" s="369"/>
      <c r="G72" s="369"/>
      <c r="H72" s="369"/>
      <c r="I72" s="369"/>
      <c r="J72" s="370">
        <f t="shared" ref="J72:O72" si="13">SUM(J68:J71)</f>
        <v>45007</v>
      </c>
      <c r="K72" s="371">
        <f t="shared" si="13"/>
        <v>19849.86108976787</v>
      </c>
      <c r="L72" s="371">
        <f t="shared" si="13"/>
        <v>18504.151773088808</v>
      </c>
      <c r="M72" s="371">
        <f t="shared" si="13"/>
        <v>21026.576082129621</v>
      </c>
      <c r="N72" s="371">
        <f t="shared" si="13"/>
        <v>23000.484424382419</v>
      </c>
      <c r="O72" s="371">
        <f t="shared" si="13"/>
        <v>24958.318122679881</v>
      </c>
    </row>
    <row r="75" spans="1:15" ht="14.25" customHeight="1" x14ac:dyDescent="0.3">
      <c r="A75" s="311" t="s">
        <v>503</v>
      </c>
      <c r="B75" s="360" t="s">
        <v>521</v>
      </c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</row>
    <row r="76" spans="1:15" ht="3" customHeight="1" x14ac:dyDescent="0.3"/>
    <row r="77" spans="1:15" ht="14.25" customHeight="1" x14ac:dyDescent="0.3">
      <c r="B77" s="358"/>
      <c r="C77" s="358"/>
      <c r="D77" s="358"/>
      <c r="E77" s="358"/>
      <c r="F77" s="358"/>
      <c r="G77" s="358"/>
      <c r="H77" s="358"/>
      <c r="I77" s="358"/>
      <c r="J77" s="359" t="s">
        <v>520</v>
      </c>
      <c r="K77" s="359" t="s">
        <v>519</v>
      </c>
      <c r="L77" s="359" t="s">
        <v>518</v>
      </c>
      <c r="M77" s="359" t="s">
        <v>517</v>
      </c>
      <c r="N77" s="359" t="s">
        <v>516</v>
      </c>
      <c r="O77" s="359" t="s">
        <v>515</v>
      </c>
    </row>
    <row r="78" spans="1:15" ht="14.25" customHeight="1" x14ac:dyDescent="0.3">
      <c r="B78" s="320" t="s">
        <v>514</v>
      </c>
      <c r="J78" s="319"/>
    </row>
    <row r="79" spans="1:15" ht="14.25" customHeight="1" x14ac:dyDescent="0.3">
      <c r="B79" s="310" t="s">
        <v>512</v>
      </c>
      <c r="D79" s="312"/>
      <c r="E79" s="312"/>
      <c r="F79" s="312"/>
      <c r="G79" s="312"/>
      <c r="H79" s="312"/>
      <c r="J79" s="317">
        <f>E23</f>
        <v>169120</v>
      </c>
      <c r="K79" s="313">
        <f>J82</f>
        <v>169120</v>
      </c>
      <c r="L79" s="313">
        <f>K82</f>
        <v>159417.33891023215</v>
      </c>
      <c r="M79" s="313">
        <f>L82</f>
        <v>150478.22747175727</v>
      </c>
      <c r="N79" s="313">
        <f>M82</f>
        <v>138480.34503793309</v>
      </c>
      <c r="O79" s="313">
        <f>N82</f>
        <v>123788.68131582666</v>
      </c>
    </row>
    <row r="80" spans="1:15" ht="14.25" customHeight="1" x14ac:dyDescent="0.3">
      <c r="B80" s="310" t="s">
        <v>511</v>
      </c>
      <c r="D80" s="312"/>
      <c r="E80" s="312"/>
      <c r="F80" s="312"/>
      <c r="G80" s="312"/>
      <c r="H80" s="312"/>
      <c r="J80" s="318">
        <f>0</f>
        <v>0</v>
      </c>
      <c r="K80" s="313">
        <f>K79*$O$7</f>
        <v>10147.199999999999</v>
      </c>
      <c r="L80" s="313">
        <f t="shared" ref="L80:O80" si="14">L79*$O$7</f>
        <v>9565.0403346139283</v>
      </c>
      <c r="M80" s="313">
        <f t="shared" si="14"/>
        <v>9028.693648305436</v>
      </c>
      <c r="N80" s="313">
        <f t="shared" si="14"/>
        <v>8308.8207022759852</v>
      </c>
      <c r="O80" s="313">
        <f t="shared" si="14"/>
        <v>7427.3208789495993</v>
      </c>
    </row>
    <row r="81" spans="1:16" ht="14.25" customHeight="1" thickBot="1" x14ac:dyDescent="0.35">
      <c r="B81" s="310" t="s">
        <v>510</v>
      </c>
      <c r="D81" s="312"/>
      <c r="E81" s="312"/>
      <c r="F81" s="312"/>
      <c r="G81" s="312"/>
      <c r="H81" s="312"/>
      <c r="J81" s="318">
        <f>0</f>
        <v>0</v>
      </c>
      <c r="K81" s="313">
        <f>-MIN(K72,K79)</f>
        <v>-19849.86108976787</v>
      </c>
      <c r="L81" s="313">
        <f>-MIN(L72,L79)</f>
        <v>-18504.151773088808</v>
      </c>
      <c r="M81" s="313">
        <f>-MIN(M72,M79)</f>
        <v>-21026.576082129621</v>
      </c>
      <c r="N81" s="313">
        <f>-MIN(N72,N79)</f>
        <v>-23000.484424382419</v>
      </c>
      <c r="O81" s="313">
        <f>-MIN(O72,O79)</f>
        <v>-24958.318122679881</v>
      </c>
    </row>
    <row r="82" spans="1:16" ht="14.25" customHeight="1" x14ac:dyDescent="0.3">
      <c r="B82" s="386" t="s">
        <v>509</v>
      </c>
      <c r="C82" s="386"/>
      <c r="D82" s="387"/>
      <c r="E82" s="387"/>
      <c r="F82" s="387"/>
      <c r="G82" s="387"/>
      <c r="H82" s="387"/>
      <c r="I82" s="386"/>
      <c r="J82" s="388">
        <f>J79</f>
        <v>169120</v>
      </c>
      <c r="K82" s="389">
        <f>MAX(K79+K80+K81,0)</f>
        <v>159417.33891023215</v>
      </c>
      <c r="L82" s="389">
        <f>MAX(L79+L80+L81,0)</f>
        <v>150478.22747175727</v>
      </c>
      <c r="M82" s="389">
        <f>MAX(M79+M80+M81,0)</f>
        <v>138480.34503793309</v>
      </c>
      <c r="N82" s="389">
        <f>MAX(N79+N80+N81,0)</f>
        <v>123788.68131582666</v>
      </c>
      <c r="O82" s="389">
        <f>MAX(O79+O80+O81,0)</f>
        <v>106257.68407209638</v>
      </c>
    </row>
    <row r="83" spans="1:16" ht="14.25" customHeight="1" x14ac:dyDescent="0.3">
      <c r="J83" s="319"/>
    </row>
    <row r="84" spans="1:16" ht="14.25" customHeight="1" x14ac:dyDescent="0.3">
      <c r="B84" s="320" t="s">
        <v>513</v>
      </c>
      <c r="J84" s="319"/>
    </row>
    <row r="85" spans="1:16" ht="14.25" customHeight="1" x14ac:dyDescent="0.3">
      <c r="B85" s="310" t="s">
        <v>512</v>
      </c>
      <c r="D85" s="312"/>
      <c r="E85" s="312"/>
      <c r="F85" s="312"/>
      <c r="G85" s="312"/>
      <c r="H85" s="312"/>
      <c r="J85" s="317">
        <f>E24</f>
        <v>84560</v>
      </c>
      <c r="K85" s="313">
        <f>J88</f>
        <v>84560</v>
      </c>
      <c r="L85" s="313">
        <f>K88</f>
        <v>94707.199999999997</v>
      </c>
      <c r="M85" s="313">
        <f>L88</f>
        <v>106072.064</v>
      </c>
      <c r="N85" s="313">
        <f>M88</f>
        <v>118800.71167999999</v>
      </c>
      <c r="O85" s="313">
        <f>N88</f>
        <v>133056.7970816</v>
      </c>
    </row>
    <row r="86" spans="1:16" ht="14.25" customHeight="1" x14ac:dyDescent="0.3">
      <c r="B86" s="310" t="s">
        <v>511</v>
      </c>
      <c r="D86" s="312"/>
      <c r="E86" s="312"/>
      <c r="F86" s="312"/>
      <c r="G86" s="312"/>
      <c r="H86" s="312"/>
      <c r="J86" s="318">
        <f>0</f>
        <v>0</v>
      </c>
      <c r="K86" s="313">
        <f>K85*$O$8</f>
        <v>10147.199999999999</v>
      </c>
      <c r="L86" s="313">
        <f t="shared" ref="L86:O86" si="15">L85*$O$8</f>
        <v>11364.864</v>
      </c>
      <c r="M86" s="313">
        <f t="shared" si="15"/>
        <v>12728.64768</v>
      </c>
      <c r="N86" s="313">
        <f t="shared" si="15"/>
        <v>14256.085401599999</v>
      </c>
      <c r="O86" s="313">
        <f t="shared" si="15"/>
        <v>15966.815649791999</v>
      </c>
    </row>
    <row r="87" spans="1:16" ht="14.25" customHeight="1" thickBot="1" x14ac:dyDescent="0.35">
      <c r="B87" s="310" t="s">
        <v>510</v>
      </c>
      <c r="D87" s="321"/>
      <c r="E87" s="321"/>
      <c r="F87" s="321"/>
      <c r="G87" s="321"/>
      <c r="H87" s="321"/>
      <c r="J87" s="318">
        <f>0</f>
        <v>0</v>
      </c>
      <c r="K87" s="390">
        <f>-MIN(MAX(K72+K81,0),K85)</f>
        <v>0</v>
      </c>
      <c r="L87" s="390">
        <f>-MIN(MAX(L72+L81,0),L85)</f>
        <v>0</v>
      </c>
      <c r="M87" s="390">
        <f>-MIN(MAX(M72+M81,0),M85)</f>
        <v>0</v>
      </c>
      <c r="N87" s="390">
        <f>-MIN(MAX(N72+N81,0),N85)</f>
        <v>0</v>
      </c>
      <c r="O87" s="390">
        <f>-MIN(MAX(O72+O81,0),O85)</f>
        <v>0</v>
      </c>
      <c r="P87" s="312"/>
    </row>
    <row r="88" spans="1:16" ht="14.25" customHeight="1" x14ac:dyDescent="0.3">
      <c r="B88" s="391" t="s">
        <v>509</v>
      </c>
      <c r="C88" s="391"/>
      <c r="D88" s="392"/>
      <c r="E88" s="392"/>
      <c r="F88" s="392"/>
      <c r="G88" s="392"/>
      <c r="H88" s="392"/>
      <c r="I88" s="391"/>
      <c r="J88" s="388">
        <f>J85</f>
        <v>84560</v>
      </c>
      <c r="K88" s="389">
        <f>MAX(K85+K86+K87,0)</f>
        <v>94707.199999999997</v>
      </c>
      <c r="L88" s="389">
        <f>MAX(L85+L86+L87,0)</f>
        <v>106072.064</v>
      </c>
      <c r="M88" s="389">
        <f>MAX(M85+M86+M87,0)</f>
        <v>118800.71167999999</v>
      </c>
      <c r="N88" s="389">
        <f>MAX(N85+N86+N87,0)</f>
        <v>133056.7970816</v>
      </c>
      <c r="O88" s="389">
        <f>MAX(O85+O86+O87,0)</f>
        <v>149023.612731392</v>
      </c>
    </row>
    <row r="89" spans="1:16" ht="14.25" customHeight="1" x14ac:dyDescent="0.3">
      <c r="J89" s="319"/>
    </row>
    <row r="90" spans="1:16" ht="14.25" customHeight="1" x14ac:dyDescent="0.3">
      <c r="B90" s="320" t="s">
        <v>5</v>
      </c>
      <c r="J90" s="319"/>
    </row>
    <row r="91" spans="1:16" ht="14.25" customHeight="1" x14ac:dyDescent="0.3">
      <c r="B91" s="310" t="s">
        <v>512</v>
      </c>
      <c r="D91" s="312"/>
      <c r="E91" s="312"/>
      <c r="F91" s="312"/>
      <c r="G91" s="312"/>
      <c r="H91" s="312"/>
      <c r="J91" s="318">
        <f t="shared" ref="J91:O94" si="16">J79+J85</f>
        <v>253680</v>
      </c>
      <c r="K91" s="313">
        <f t="shared" si="16"/>
        <v>253680</v>
      </c>
      <c r="L91" s="313">
        <f t="shared" si="16"/>
        <v>254124.53891023214</v>
      </c>
      <c r="M91" s="313">
        <f t="shared" si="16"/>
        <v>256550.29147175729</v>
      </c>
      <c r="N91" s="313">
        <f t="shared" si="16"/>
        <v>257281.0567179331</v>
      </c>
      <c r="O91" s="313">
        <f t="shared" si="16"/>
        <v>256845.47839742666</v>
      </c>
    </row>
    <row r="92" spans="1:16" ht="14.25" customHeight="1" x14ac:dyDescent="0.3">
      <c r="B92" s="310" t="s">
        <v>511</v>
      </c>
      <c r="D92" s="312"/>
      <c r="E92" s="312"/>
      <c r="F92" s="312"/>
      <c r="G92" s="312"/>
      <c r="H92" s="312"/>
      <c r="J92" s="318">
        <f t="shared" si="16"/>
        <v>0</v>
      </c>
      <c r="K92" s="313">
        <f t="shared" si="16"/>
        <v>20294.399999999998</v>
      </c>
      <c r="L92" s="313">
        <f t="shared" si="16"/>
        <v>20929.90433461393</v>
      </c>
      <c r="M92" s="313">
        <f t="shared" si="16"/>
        <v>21757.341328305436</v>
      </c>
      <c r="N92" s="313">
        <f t="shared" si="16"/>
        <v>22564.906103875983</v>
      </c>
      <c r="O92" s="313">
        <f t="shared" si="16"/>
        <v>23394.136528741597</v>
      </c>
    </row>
    <row r="93" spans="1:16" ht="14.25" customHeight="1" thickBot="1" x14ac:dyDescent="0.35">
      <c r="B93" s="310" t="s">
        <v>510</v>
      </c>
      <c r="D93" s="312"/>
      <c r="E93" s="312"/>
      <c r="F93" s="312"/>
      <c r="G93" s="312"/>
      <c r="H93" s="312"/>
      <c r="J93" s="318">
        <f t="shared" si="16"/>
        <v>0</v>
      </c>
      <c r="K93" s="390">
        <f t="shared" si="16"/>
        <v>-19849.86108976787</v>
      </c>
      <c r="L93" s="390">
        <f t="shared" si="16"/>
        <v>-18504.151773088808</v>
      </c>
      <c r="M93" s="390">
        <f t="shared" si="16"/>
        <v>-21026.576082129621</v>
      </c>
      <c r="N93" s="390">
        <f t="shared" si="16"/>
        <v>-23000.484424382419</v>
      </c>
      <c r="O93" s="390">
        <f t="shared" si="16"/>
        <v>-24958.318122679881</v>
      </c>
    </row>
    <row r="94" spans="1:16" ht="14.25" customHeight="1" x14ac:dyDescent="0.3">
      <c r="B94" s="391" t="s">
        <v>509</v>
      </c>
      <c r="C94" s="391"/>
      <c r="D94" s="392"/>
      <c r="E94" s="392"/>
      <c r="F94" s="392"/>
      <c r="G94" s="392"/>
      <c r="H94" s="392"/>
      <c r="I94" s="391"/>
      <c r="J94" s="388">
        <f t="shared" si="16"/>
        <v>253680</v>
      </c>
      <c r="K94" s="389">
        <f t="shared" si="16"/>
        <v>254124.53891023214</v>
      </c>
      <c r="L94" s="389">
        <f t="shared" si="16"/>
        <v>256550.29147175729</v>
      </c>
      <c r="M94" s="389">
        <f t="shared" si="16"/>
        <v>257281.0567179331</v>
      </c>
      <c r="N94" s="389">
        <f t="shared" si="16"/>
        <v>256845.47839742666</v>
      </c>
      <c r="O94" s="389">
        <f t="shared" si="16"/>
        <v>255281.2968034884</v>
      </c>
    </row>
    <row r="96" spans="1:16" ht="14.25" customHeight="1" x14ac:dyDescent="0.3">
      <c r="A96" s="311" t="s">
        <v>503</v>
      </c>
      <c r="B96" s="360" t="s">
        <v>502</v>
      </c>
      <c r="C96" s="361"/>
      <c r="D96" s="361"/>
      <c r="E96" s="361"/>
      <c r="F96" s="361"/>
      <c r="G96" s="361"/>
      <c r="H96" s="361"/>
      <c r="I96" s="361"/>
      <c r="J96" s="361"/>
      <c r="K96" s="361"/>
      <c r="L96" s="361"/>
      <c r="M96" s="361"/>
      <c r="N96" s="361"/>
      <c r="O96" s="361"/>
    </row>
    <row r="97" spans="1:15" ht="3" customHeight="1" x14ac:dyDescent="0.3">
      <c r="D97" s="312"/>
      <c r="E97" s="312"/>
      <c r="F97" s="312"/>
      <c r="G97" s="312"/>
      <c r="H97" s="312"/>
      <c r="O97" s="316"/>
    </row>
    <row r="98" spans="1:15" ht="14.25" customHeight="1" x14ac:dyDescent="0.3">
      <c r="B98" s="310" t="s">
        <v>508</v>
      </c>
      <c r="O98" s="313">
        <f>O39</f>
        <v>55447.892857142848</v>
      </c>
    </row>
    <row r="99" spans="1:15" ht="14.25" customHeight="1" x14ac:dyDescent="0.3">
      <c r="B99" s="314" t="s">
        <v>507</v>
      </c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5">
        <f>E16</f>
        <v>10.771813055818352</v>
      </c>
    </row>
    <row r="100" spans="1:15" ht="14.25" customHeight="1" x14ac:dyDescent="0.3">
      <c r="B100" s="310" t="s">
        <v>454</v>
      </c>
      <c r="O100" s="313">
        <f>O98*O99</f>
        <v>597274.33619618847</v>
      </c>
    </row>
    <row r="101" spans="1:15" ht="14.25" customHeight="1" thickBot="1" x14ac:dyDescent="0.35">
      <c r="B101" s="310" t="s">
        <v>444</v>
      </c>
      <c r="O101" s="313">
        <f>O94</f>
        <v>255281.2968034884</v>
      </c>
    </row>
    <row r="102" spans="1:15" ht="14.25" customHeight="1" thickBot="1" x14ac:dyDescent="0.35">
      <c r="B102" s="369" t="s">
        <v>506</v>
      </c>
      <c r="C102" s="369"/>
      <c r="D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74">
        <f>O100-O101</f>
        <v>341993.03939270007</v>
      </c>
    </row>
    <row r="104" spans="1:15" ht="14.25" customHeight="1" x14ac:dyDescent="0.3">
      <c r="B104" s="310" t="s">
        <v>505</v>
      </c>
      <c r="O104" s="313">
        <f>E27</f>
        <v>201802.25599999994</v>
      </c>
    </row>
    <row r="105" spans="1:15" ht="14.25" customHeight="1" x14ac:dyDescent="0.3">
      <c r="O105" s="312"/>
    </row>
    <row r="106" spans="1:15" ht="14.25" customHeight="1" x14ac:dyDescent="0.3">
      <c r="B106" s="363" t="s">
        <v>504</v>
      </c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93">
        <f>IFERROR(O102/O104,0)</f>
        <v>1.6946938362904138</v>
      </c>
    </row>
    <row r="107" spans="1:15" ht="14.25" customHeight="1" x14ac:dyDescent="0.3">
      <c r="A107" s="311" t="s">
        <v>503</v>
      </c>
      <c r="B107" s="363" t="s">
        <v>502</v>
      </c>
      <c r="C107" s="363"/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72">
        <f>IFERROR(O106^(1/5)-1,0)</f>
        <v>0.11126657057906697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Dashboard</vt:lpstr>
      <vt:lpstr> Forecasted FS&gt;</vt:lpstr>
      <vt:lpstr>Ratio Analysis</vt:lpstr>
      <vt:lpstr>Forecasted Key Drivers</vt:lpstr>
      <vt:lpstr>Raw Data Sheet</vt:lpstr>
      <vt:lpstr>Raw Cash Flow </vt:lpstr>
      <vt:lpstr>WACC&gt;</vt:lpstr>
      <vt:lpstr>Data - Comps</vt:lpstr>
      <vt:lpstr>Infosys - Beta</vt:lpstr>
      <vt:lpstr>TCS - Beta</vt:lpstr>
      <vt:lpstr>HCL Technologies - Beta</vt:lpstr>
      <vt:lpstr>WIPRO - Beta</vt:lpstr>
      <vt:lpstr>Tech Mahindra - Beta</vt:lpstr>
      <vt:lpstr>Rm</vt:lpstr>
      <vt:lpstr>DCF&gt;</vt:lpstr>
      <vt:lpstr>Intrinsic Growth</vt:lpstr>
      <vt:lpstr>Infosys Raw FS</vt:lpstr>
      <vt:lpstr>Football Field Analysis&gt;</vt:lpstr>
      <vt:lpstr>Comps Value</vt:lpstr>
      <vt:lpstr>Comps Data</vt:lpstr>
      <vt:lpstr>LBO 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Nimish Moondra</cp:lastModifiedBy>
  <cp:lastPrinted>2026-07-26T20:44:35Z</cp:lastPrinted>
  <dcterms:created xsi:type="dcterms:W3CDTF">2023-02-06T14:53:36Z</dcterms:created>
  <dcterms:modified xsi:type="dcterms:W3CDTF">2026-08-10T15:19:05Z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