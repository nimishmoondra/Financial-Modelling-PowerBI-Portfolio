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Valuation School\"/>
    </mc:Choice>
  </mc:AlternateContent>
  <xr:revisionPtr revIDLastSave="0" documentId="13_ncr:1_{596034EA-F02D-4D27-BE02-83873A6DC983}" xr6:coauthVersionLast="47" xr6:coauthVersionMax="47" xr10:uidLastSave="{00000000-0000-0000-0000-000000000000}"/>
  <bookViews>
    <workbookView xWindow="-108" yWindow="-108" windowWidth="23256" windowHeight="12456" tabRatio="500" firstSheet="2" activeTab="5" xr2:uid="{00000000-000D-0000-FFFF-FFFF00000000}"/>
  </bookViews>
  <sheets>
    <sheet name="Cover" sheetId="1" r:id="rId1"/>
    <sheet name="Dashboard" sheetId="2" r:id="rId2"/>
    <sheet name="Assumptions" sheetId="3" r:id="rId3"/>
    <sheet name="Transaction_Summary" sheetId="4" r:id="rId4"/>
    <sheet name="Pro_Forma_IS" sheetId="5" r:id="rId5"/>
    <sheet name="Pro_Forma_BS" sheetId="6" r:id="rId6"/>
    <sheet name="Pro_Forma_CF" sheetId="7" r:id="rId7"/>
    <sheet name="Standalone_IS" sheetId="8" r:id="rId8"/>
    <sheet name="Accretion_Dilution" sheetId="9" r:id="rId9"/>
    <sheet name="Credit_Metrics" sheetId="10" r:id="rId10"/>
    <sheet name="Buyer_Returns" sheetId="11" r:id="rId11"/>
    <sheet name="Sensitivity" sheetId="12" r:id="rId12"/>
    <sheet name="Checks" sheetId="13" r:id="rId13"/>
  </sheets>
  <definedNames>
    <definedName name="Base_ProForma_EPS">Accretion_Dilution!$E$9</definedName>
    <definedName name="Base_SA_EPS">Accretion_Dilution!$E$8</definedName>
    <definedName name="Base_Synergy">Assumptions!$C$52</definedName>
    <definedName name="Exit_EBITDA_Multiple">Assumptions!$C$78</definedName>
    <definedName name="Phase_Y3">Assumptions!$C$55</definedName>
    <definedName name="Tax_Rate">Assumptions!$C$12</definedName>
    <definedName name="Total_Shares">Assumptions!$C$92</definedName>
    <definedName name="Y5_Acq_Debt">Pro_Forma_BS!$H$18</definedName>
    <definedName name="Y5_Cash">Pro_Forma_BS!$H$8</definedName>
    <definedName name="Y5_EBITDA">Pro_Forma_IS!$G$29</definedName>
    <definedName name="Y5_New_Debt">Pro_Forma_BS!$H$19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13" l="1"/>
  <c r="C35" i="3"/>
  <c r="C34" i="3"/>
  <c r="C52" i="3"/>
  <c r="E26" i="13" l="1"/>
  <c r="E25" i="13"/>
  <c r="E24" i="13"/>
  <c r="E23" i="13"/>
  <c r="D23" i="13"/>
  <c r="E22" i="13"/>
  <c r="E21" i="13"/>
  <c r="E13" i="13"/>
  <c r="E12" i="13"/>
  <c r="E11" i="13"/>
  <c r="E10" i="13"/>
  <c r="E9" i="13"/>
  <c r="E8" i="13"/>
  <c r="E7" i="13"/>
  <c r="W17" i="11"/>
  <c r="V17" i="11"/>
  <c r="U17" i="11"/>
  <c r="T17" i="11"/>
  <c r="S17" i="11"/>
  <c r="R17" i="11"/>
  <c r="Q17" i="11"/>
  <c r="P17" i="11"/>
  <c r="O17" i="11"/>
  <c r="N17" i="11"/>
  <c r="M17" i="11"/>
  <c r="L17" i="11"/>
  <c r="K17" i="11"/>
  <c r="J17" i="11"/>
  <c r="I17" i="11"/>
  <c r="H17" i="11"/>
  <c r="G17" i="11"/>
  <c r="F17" i="11"/>
  <c r="E17" i="11"/>
  <c r="D17" i="11"/>
  <c r="C17" i="11"/>
  <c r="C15" i="10"/>
  <c r="C16" i="10" s="1"/>
  <c r="G10" i="10"/>
  <c r="G24" i="7" s="1"/>
  <c r="F10" i="10"/>
  <c r="F24" i="7" s="1"/>
  <c r="E10" i="10"/>
  <c r="E24" i="7" s="1"/>
  <c r="D10" i="10"/>
  <c r="D24" i="7" s="1"/>
  <c r="C10" i="10"/>
  <c r="C24" i="7" s="1"/>
  <c r="G15" i="9"/>
  <c r="F15" i="9"/>
  <c r="E15" i="9"/>
  <c r="D15" i="9"/>
  <c r="C15" i="9"/>
  <c r="G8" i="8"/>
  <c r="F8" i="8"/>
  <c r="F9" i="8" s="1"/>
  <c r="E8" i="8"/>
  <c r="E9" i="8" s="1"/>
  <c r="D8" i="8"/>
  <c r="D10" i="8" s="1"/>
  <c r="C8" i="8"/>
  <c r="G18" i="7"/>
  <c r="F18" i="7"/>
  <c r="E18" i="7"/>
  <c r="D18" i="7"/>
  <c r="C18" i="7"/>
  <c r="G14" i="7"/>
  <c r="F14" i="7"/>
  <c r="E14" i="7"/>
  <c r="D14" i="7"/>
  <c r="C14" i="7"/>
  <c r="H20" i="6"/>
  <c r="G20" i="6"/>
  <c r="F20" i="6"/>
  <c r="E20" i="6"/>
  <c r="D20" i="6"/>
  <c r="C20" i="6"/>
  <c r="C19" i="6"/>
  <c r="C14" i="6"/>
  <c r="C13" i="6"/>
  <c r="C9" i="6"/>
  <c r="C8" i="6"/>
  <c r="G42" i="5"/>
  <c r="G22" i="9" s="1"/>
  <c r="F42" i="5"/>
  <c r="F22" i="9" s="1"/>
  <c r="E42" i="5"/>
  <c r="E22" i="9" s="1"/>
  <c r="D42" i="5"/>
  <c r="D22" i="9" s="1"/>
  <c r="C42" i="5"/>
  <c r="C22" i="9" s="1"/>
  <c r="G41" i="5"/>
  <c r="F41" i="5"/>
  <c r="F24" i="9" s="1"/>
  <c r="E41" i="5"/>
  <c r="D41" i="5"/>
  <c r="C41" i="5"/>
  <c r="G32" i="5"/>
  <c r="G20" i="9" s="1"/>
  <c r="F32" i="5"/>
  <c r="E32" i="5"/>
  <c r="D32" i="5"/>
  <c r="D11" i="7" s="1"/>
  <c r="C32" i="5"/>
  <c r="C20" i="9" s="1"/>
  <c r="G28" i="5"/>
  <c r="G18" i="9" s="1"/>
  <c r="F28" i="5"/>
  <c r="F18" i="9" s="1"/>
  <c r="E28" i="5"/>
  <c r="E18" i="9" s="1"/>
  <c r="D28" i="5"/>
  <c r="D18" i="9" s="1"/>
  <c r="C28" i="5"/>
  <c r="C18" i="9" s="1"/>
  <c r="G22" i="5"/>
  <c r="G17" i="9" s="1"/>
  <c r="F22" i="5"/>
  <c r="F17" i="9" s="1"/>
  <c r="E22" i="5"/>
  <c r="E17" i="9" s="1"/>
  <c r="D22" i="5"/>
  <c r="D17" i="9" s="1"/>
  <c r="C22" i="5"/>
  <c r="C17" i="9" s="1"/>
  <c r="G20" i="5"/>
  <c r="G21" i="5" s="1"/>
  <c r="G16" i="9" s="1"/>
  <c r="F20" i="5"/>
  <c r="F21" i="5" s="1"/>
  <c r="E20" i="5"/>
  <c r="E21" i="5" s="1"/>
  <c r="D20" i="5"/>
  <c r="D21" i="5" s="1"/>
  <c r="D16" i="9" s="1"/>
  <c r="C20" i="5"/>
  <c r="C21" i="5" s="1"/>
  <c r="C16" i="9" s="1"/>
  <c r="G14" i="5"/>
  <c r="G16" i="5" s="1"/>
  <c r="F14" i="5"/>
  <c r="F15" i="5" s="1"/>
  <c r="E14" i="5"/>
  <c r="E16" i="5" s="1"/>
  <c r="D14" i="5"/>
  <c r="D16" i="5" s="1"/>
  <c r="C14" i="5"/>
  <c r="C16" i="5" s="1"/>
  <c r="G8" i="5"/>
  <c r="G9" i="5" s="1"/>
  <c r="F8" i="5"/>
  <c r="F9" i="5" s="1"/>
  <c r="E8" i="5"/>
  <c r="E10" i="5" s="1"/>
  <c r="D8" i="5"/>
  <c r="D9" i="5" s="1"/>
  <c r="C8" i="5"/>
  <c r="C30" i="4"/>
  <c r="C20" i="4"/>
  <c r="C17" i="4"/>
  <c r="C18" i="4" s="1"/>
  <c r="F10" i="4"/>
  <c r="F9" i="4"/>
  <c r="C9" i="4"/>
  <c r="F8" i="4"/>
  <c r="C86" i="3"/>
  <c r="C87" i="3" s="1"/>
  <c r="C39" i="3"/>
  <c r="D40" i="5" s="1"/>
  <c r="C94" i="2"/>
  <c r="C86" i="2"/>
  <c r="G16" i="2"/>
  <c r="F16" i="2"/>
  <c r="E16" i="2"/>
  <c r="D16" i="2"/>
  <c r="C16" i="2"/>
  <c r="H7" i="2"/>
  <c r="F7" i="2"/>
  <c r="B17" i="1"/>
  <c r="B16" i="1"/>
  <c r="B15" i="1"/>
  <c r="B14" i="1"/>
  <c r="B13" i="1"/>
  <c r="B12" i="1"/>
  <c r="B11" i="1"/>
  <c r="B10" i="1"/>
  <c r="B9" i="1"/>
  <c r="B8" i="1"/>
  <c r="B7" i="1"/>
  <c r="B6" i="1"/>
  <c r="C23" i="13" l="1"/>
  <c r="G15" i="5"/>
  <c r="G17" i="5" s="1"/>
  <c r="G10" i="5"/>
  <c r="G30" i="5" s="1"/>
  <c r="G9" i="7" s="1"/>
  <c r="F10" i="8"/>
  <c r="F11" i="8" s="1"/>
  <c r="C15" i="5"/>
  <c r="C17" i="5" s="1"/>
  <c r="F12" i="7"/>
  <c r="C26" i="5"/>
  <c r="C19" i="7" s="1"/>
  <c r="D9" i="6" s="1"/>
  <c r="G26" i="5"/>
  <c r="G19" i="7" s="1"/>
  <c r="C10" i="5"/>
  <c r="C30" i="5" s="1"/>
  <c r="C9" i="7" s="1"/>
  <c r="F16" i="5"/>
  <c r="F17" i="5" s="1"/>
  <c r="D20" i="9"/>
  <c r="D26" i="5"/>
  <c r="D19" i="7" s="1"/>
  <c r="D21" i="7" s="1"/>
  <c r="C9" i="5"/>
  <c r="F10" i="5"/>
  <c r="F11" i="5" s="1"/>
  <c r="D15" i="5"/>
  <c r="D17" i="5" s="1"/>
  <c r="E40" i="5"/>
  <c r="E43" i="5" s="1"/>
  <c r="E10" i="8"/>
  <c r="E11" i="8" s="1"/>
  <c r="E16" i="9"/>
  <c r="E23" i="5"/>
  <c r="F16" i="9"/>
  <c r="F23" i="5"/>
  <c r="F27" i="5" s="1"/>
  <c r="D23" i="9"/>
  <c r="D13" i="7"/>
  <c r="D43" i="5"/>
  <c r="E30" i="5"/>
  <c r="C29" i="4"/>
  <c r="C89" i="3"/>
  <c r="C31" i="4" s="1"/>
  <c r="C81" i="2"/>
  <c r="B7" i="2"/>
  <c r="C88" i="3"/>
  <c r="C91" i="3"/>
  <c r="F7" i="4"/>
  <c r="F11" i="4" s="1"/>
  <c r="E26" i="5"/>
  <c r="E19" i="7" s="1"/>
  <c r="D24" i="9"/>
  <c r="D12" i="7"/>
  <c r="E9" i="5"/>
  <c r="D10" i="5"/>
  <c r="D30" i="5" s="1"/>
  <c r="C11" i="5"/>
  <c r="G11" i="5"/>
  <c r="E15" i="5"/>
  <c r="E17" i="5" s="1"/>
  <c r="C23" i="5"/>
  <c r="G23" i="5"/>
  <c r="G27" i="5" s="1"/>
  <c r="F26" i="5"/>
  <c r="F19" i="7" s="1"/>
  <c r="F21" i="7" s="1"/>
  <c r="F40" i="5"/>
  <c r="E24" i="9"/>
  <c r="E12" i="7"/>
  <c r="D14" i="6"/>
  <c r="E14" i="6" s="1"/>
  <c r="F14" i="6" s="1"/>
  <c r="G14" i="6" s="1"/>
  <c r="H14" i="6" s="1"/>
  <c r="E13" i="7"/>
  <c r="C21" i="7"/>
  <c r="G21" i="7"/>
  <c r="D23" i="5"/>
  <c r="D27" i="5" s="1"/>
  <c r="E20" i="9"/>
  <c r="E11" i="7"/>
  <c r="C40" i="5"/>
  <c r="G40" i="5"/>
  <c r="C11" i="7"/>
  <c r="C10" i="8"/>
  <c r="C9" i="8"/>
  <c r="G10" i="8"/>
  <c r="G9" i="8"/>
  <c r="E23" i="9"/>
  <c r="F11" i="7"/>
  <c r="F20" i="9"/>
  <c r="C24" i="9"/>
  <c r="C12" i="7"/>
  <c r="G24" i="9"/>
  <c r="G12" i="7"/>
  <c r="G11" i="7"/>
  <c r="E21" i="7"/>
  <c r="C17" i="10"/>
  <c r="C25" i="7"/>
  <c r="C31" i="7"/>
  <c r="D9" i="8"/>
  <c r="D11" i="8" s="1"/>
  <c r="C18" i="10"/>
  <c r="C27" i="5" l="1"/>
  <c r="C25" i="10" s="1"/>
  <c r="C11" i="8"/>
  <c r="F30" i="5"/>
  <c r="F9" i="7" s="1"/>
  <c r="D25" i="10"/>
  <c r="D29" i="5"/>
  <c r="G25" i="10"/>
  <c r="G29" i="5"/>
  <c r="G11" i="8"/>
  <c r="G13" i="7"/>
  <c r="G23" i="9"/>
  <c r="G43" i="5"/>
  <c r="E9" i="6"/>
  <c r="F9" i="6" s="1"/>
  <c r="F23" i="9"/>
  <c r="F13" i="7"/>
  <c r="F43" i="5"/>
  <c r="C8" i="10"/>
  <c r="C18" i="6"/>
  <c r="C7" i="4"/>
  <c r="J7" i="2"/>
  <c r="C31" i="10"/>
  <c r="C8" i="11"/>
  <c r="C25" i="6"/>
  <c r="C39" i="10"/>
  <c r="D24" i="13"/>
  <c r="C24" i="13" s="1"/>
  <c r="C8" i="4"/>
  <c r="C90" i="3"/>
  <c r="C92" i="3" s="1"/>
  <c r="E42" i="9" s="1"/>
  <c r="C82" i="2"/>
  <c r="C14" i="8"/>
  <c r="C16" i="8" s="1"/>
  <c r="C37" i="5"/>
  <c r="D15" i="10"/>
  <c r="D19" i="6"/>
  <c r="C23" i="9"/>
  <c r="C13" i="7"/>
  <c r="D13" i="6"/>
  <c r="E13" i="6" s="1"/>
  <c r="F13" i="6" s="1"/>
  <c r="G13" i="6" s="1"/>
  <c r="H13" i="6" s="1"/>
  <c r="C43" i="5"/>
  <c r="D9" i="7"/>
  <c r="F25" i="10"/>
  <c r="F29" i="5"/>
  <c r="C28" i="4"/>
  <c r="C27" i="4"/>
  <c r="C16" i="4"/>
  <c r="C19" i="4"/>
  <c r="D7" i="2"/>
  <c r="D11" i="5"/>
  <c r="E11" i="5"/>
  <c r="E27" i="5"/>
  <c r="E9" i="7"/>
  <c r="C29" i="5" l="1"/>
  <c r="G9" i="6"/>
  <c r="H9" i="6" s="1"/>
  <c r="D41" i="9"/>
  <c r="D42" i="9"/>
  <c r="C41" i="9"/>
  <c r="E34" i="9"/>
  <c r="C42" i="9"/>
  <c r="C17" i="8"/>
  <c r="C19" i="8" s="1"/>
  <c r="C11" i="6"/>
  <c r="G31" i="5"/>
  <c r="C31" i="5"/>
  <c r="F31" i="5"/>
  <c r="C21" i="4"/>
  <c r="C22" i="4" s="1"/>
  <c r="C10" i="6" s="1"/>
  <c r="E31" i="5"/>
  <c r="D31" i="5"/>
  <c r="F41" i="9"/>
  <c r="F34" i="9"/>
  <c r="G42" i="9"/>
  <c r="C12" i="10"/>
  <c r="E25" i="10"/>
  <c r="E29" i="5"/>
  <c r="D18" i="10"/>
  <c r="D16" i="10"/>
  <c r="D25" i="7" s="1"/>
  <c r="C21" i="11"/>
  <c r="C35" i="9"/>
  <c r="E35" i="9"/>
  <c r="D34" i="9"/>
  <c r="F36" i="9"/>
  <c r="G35" i="9"/>
  <c r="G36" i="9"/>
  <c r="D35" i="9"/>
  <c r="D36" i="9"/>
  <c r="D40" i="9"/>
  <c r="G34" i="9"/>
  <c r="F40" i="9"/>
  <c r="D33" i="9"/>
  <c r="C38" i="9"/>
  <c r="C40" i="9"/>
  <c r="F33" i="9"/>
  <c r="E36" i="9"/>
  <c r="F35" i="9"/>
  <c r="C36" i="9"/>
  <c r="D89" i="2" s="1"/>
  <c r="G33" i="9"/>
  <c r="E40" i="9"/>
  <c r="C34" i="9"/>
  <c r="G38" i="9"/>
  <c r="G40" i="9"/>
  <c r="D38" i="9"/>
  <c r="C33" i="9"/>
  <c r="D87" i="2" s="1"/>
  <c r="F42" i="9"/>
  <c r="E33" i="9"/>
  <c r="C11" i="4"/>
  <c r="C13" i="4" s="1"/>
  <c r="D7" i="13" s="1"/>
  <c r="C7" i="13" s="1"/>
  <c r="F38" i="9"/>
  <c r="E38" i="9"/>
  <c r="C9" i="10"/>
  <c r="C23" i="7" s="1"/>
  <c r="G41" i="9"/>
  <c r="E41" i="9"/>
  <c r="D88" i="2" l="1"/>
  <c r="D17" i="10"/>
  <c r="E19" i="6" s="1"/>
  <c r="D11" i="6"/>
  <c r="E11" i="6" s="1"/>
  <c r="F11" i="6" s="1"/>
  <c r="G11" i="6" s="1"/>
  <c r="H11" i="6" s="1"/>
  <c r="D92" i="2"/>
  <c r="C21" i="8"/>
  <c r="E15" i="10"/>
  <c r="E19" i="9"/>
  <c r="E10" i="7"/>
  <c r="E33" i="5"/>
  <c r="G19" i="9"/>
  <c r="G10" i="7"/>
  <c r="G33" i="5"/>
  <c r="G34" i="5" s="1"/>
  <c r="D14" i="8"/>
  <c r="D16" i="8" s="1"/>
  <c r="D37" i="5"/>
  <c r="G21" i="6"/>
  <c r="C21" i="6"/>
  <c r="C23" i="6" s="1"/>
  <c r="C27" i="6" s="1"/>
  <c r="F21" i="6"/>
  <c r="E21" i="6"/>
  <c r="D21" i="6"/>
  <c r="H21" i="6"/>
  <c r="E34" i="5"/>
  <c r="C11" i="10"/>
  <c r="D10" i="6"/>
  <c r="E10" i="6" s="1"/>
  <c r="F10" i="6" s="1"/>
  <c r="G10" i="6" s="1"/>
  <c r="H10" i="6" s="1"/>
  <c r="C16" i="6"/>
  <c r="C24" i="4"/>
  <c r="D8" i="13" s="1"/>
  <c r="C8" i="13" s="1"/>
  <c r="F19" i="9"/>
  <c r="F10" i="7"/>
  <c r="F33" i="5"/>
  <c r="F34" i="5" s="1"/>
  <c r="C22" i="10"/>
  <c r="C38" i="5"/>
  <c r="D19" i="9"/>
  <c r="D10" i="7"/>
  <c r="D33" i="5"/>
  <c r="D34" i="5" s="1"/>
  <c r="C10" i="7"/>
  <c r="C19" i="9"/>
  <c r="C33" i="5"/>
  <c r="C34" i="5" s="1"/>
  <c r="C29" i="6" l="1"/>
  <c r="D15" i="13" s="1"/>
  <c r="C15" i="13" s="1"/>
  <c r="C37" i="9"/>
  <c r="D91" i="2" s="1"/>
  <c r="D17" i="8"/>
  <c r="D19" i="8" s="1"/>
  <c r="G37" i="9"/>
  <c r="D37" i="9"/>
  <c r="E18" i="10"/>
  <c r="E16" i="10"/>
  <c r="E25" i="7" s="1"/>
  <c r="C21" i="9"/>
  <c r="C39" i="9" s="1"/>
  <c r="D90" i="2" s="1"/>
  <c r="C39" i="5"/>
  <c r="C28" i="10" s="1"/>
  <c r="F37" i="9"/>
  <c r="C21" i="10"/>
  <c r="C27" i="10" s="1"/>
  <c r="D8" i="10"/>
  <c r="D18" i="6"/>
  <c r="D23" i="6" s="1"/>
  <c r="C32" i="9"/>
  <c r="C8" i="9"/>
  <c r="C89" i="2"/>
  <c r="C87" i="2"/>
  <c r="D86" i="2"/>
  <c r="C17" i="2"/>
  <c r="C88" i="2"/>
  <c r="D11" i="2"/>
  <c r="E37" i="9"/>
  <c r="C43" i="9"/>
  <c r="D93" i="2" s="1"/>
  <c r="C45" i="5" l="1"/>
  <c r="C91" i="2"/>
  <c r="C90" i="2"/>
  <c r="C92" i="2"/>
  <c r="E17" i="10"/>
  <c r="D12" i="10"/>
  <c r="D21" i="13"/>
  <c r="C21" i="13" s="1"/>
  <c r="D9" i="10"/>
  <c r="D23" i="7" s="1"/>
  <c r="F15" i="10"/>
  <c r="F19" i="6"/>
  <c r="D21" i="8"/>
  <c r="D43" i="9" s="1"/>
  <c r="C45" i="9"/>
  <c r="C21" i="2"/>
  <c r="J11" i="2"/>
  <c r="E14" i="8"/>
  <c r="E16" i="8" s="1"/>
  <c r="E37" i="5"/>
  <c r="C26" i="9"/>
  <c r="C46" i="5" l="1"/>
  <c r="C48" i="5" s="1"/>
  <c r="D11" i="10"/>
  <c r="E8" i="10" s="1"/>
  <c r="E17" i="8"/>
  <c r="E19" i="8" s="1"/>
  <c r="D8" i="9"/>
  <c r="D17" i="2"/>
  <c r="D32" i="9"/>
  <c r="F16" i="10"/>
  <c r="F25" i="7" s="1"/>
  <c r="F18" i="10"/>
  <c r="D22" i="10"/>
  <c r="D38" i="5"/>
  <c r="D8" i="11" l="1"/>
  <c r="C32" i="10"/>
  <c r="C50" i="5"/>
  <c r="C46" i="9" s="1"/>
  <c r="C40" i="10"/>
  <c r="C8" i="7"/>
  <c r="C16" i="7" s="1"/>
  <c r="C33" i="10"/>
  <c r="C20" i="2"/>
  <c r="C41" i="10"/>
  <c r="C26" i="7" s="1"/>
  <c r="C28" i="7" s="1"/>
  <c r="C28" i="9"/>
  <c r="C27" i="9" s="1"/>
  <c r="D9" i="13" s="1"/>
  <c r="C9" i="13" s="1"/>
  <c r="E18" i="6"/>
  <c r="E23" i="6" s="1"/>
  <c r="D21" i="10"/>
  <c r="D27" i="10" s="1"/>
  <c r="D21" i="2" s="1"/>
  <c r="E21" i="8"/>
  <c r="E43" i="9" s="1"/>
  <c r="F14" i="8"/>
  <c r="F16" i="8" s="1"/>
  <c r="F37" i="5"/>
  <c r="E12" i="10"/>
  <c r="E9" i="10"/>
  <c r="E23" i="7" s="1"/>
  <c r="D21" i="9"/>
  <c r="D39" i="5"/>
  <c r="F17" i="10"/>
  <c r="B11" i="2"/>
  <c r="C34" i="10" l="1"/>
  <c r="D31" i="10" s="1"/>
  <c r="D94" i="2"/>
  <c r="C9" i="9"/>
  <c r="C11" i="9" s="1"/>
  <c r="C12" i="9" s="1"/>
  <c r="F11" i="2" s="1"/>
  <c r="C30" i="7"/>
  <c r="C32" i="7" s="1"/>
  <c r="D8" i="6" s="1"/>
  <c r="D16" i="6" s="1"/>
  <c r="C42" i="10"/>
  <c r="D39" i="10" s="1"/>
  <c r="C18" i="2"/>
  <c r="C93" i="2"/>
  <c r="E11" i="10"/>
  <c r="D28" i="10"/>
  <c r="D45" i="5"/>
  <c r="E22" i="10"/>
  <c r="E38" i="5"/>
  <c r="D39" i="9"/>
  <c r="D45" i="9" s="1"/>
  <c r="D26" i="9"/>
  <c r="F17" i="8"/>
  <c r="F19" i="8" s="1"/>
  <c r="E32" i="9"/>
  <c r="E8" i="9"/>
  <c r="E17" i="2"/>
  <c r="G15" i="10"/>
  <c r="G19" i="6"/>
  <c r="D25" i="6" l="1"/>
  <c r="D27" i="6" s="1"/>
  <c r="D29" i="6" s="1"/>
  <c r="D16" i="13" s="1"/>
  <c r="C16" i="13" s="1"/>
  <c r="C36" i="10"/>
  <c r="C19" i="2"/>
  <c r="D31" i="7"/>
  <c r="F21" i="8"/>
  <c r="E21" i="9"/>
  <c r="E39" i="5"/>
  <c r="E21" i="10"/>
  <c r="E27" i="10" s="1"/>
  <c r="E21" i="2" s="1"/>
  <c r="F8" i="10"/>
  <c r="F18" i="6"/>
  <c r="F23" i="6" s="1"/>
  <c r="G16" i="10"/>
  <c r="G25" i="7" s="1"/>
  <c r="G18" i="10"/>
  <c r="D46" i="5"/>
  <c r="D48" i="5" s="1"/>
  <c r="G17" i="10" l="1"/>
  <c r="H19" i="6" s="1"/>
  <c r="F12" i="10"/>
  <c r="F9" i="10"/>
  <c r="F23" i="7" s="1"/>
  <c r="E39" i="9"/>
  <c r="E45" i="9" s="1"/>
  <c r="E26" i="9"/>
  <c r="D41" i="10"/>
  <c r="D26" i="7" s="1"/>
  <c r="D28" i="7" s="1"/>
  <c r="D28" i="9"/>
  <c r="D27" i="9" s="1"/>
  <c r="D10" i="13" s="1"/>
  <c r="C10" i="13" s="1"/>
  <c r="E8" i="11"/>
  <c r="D40" i="10"/>
  <c r="D33" i="10"/>
  <c r="D32" i="10"/>
  <c r="D50" i="5"/>
  <c r="D8" i="7"/>
  <c r="D16" i="7" s="1"/>
  <c r="D20" i="2"/>
  <c r="F32" i="9"/>
  <c r="F8" i="9"/>
  <c r="F17" i="2"/>
  <c r="G37" i="5"/>
  <c r="G14" i="8"/>
  <c r="G16" i="8" s="1"/>
  <c r="E28" i="10"/>
  <c r="E45" i="5"/>
  <c r="F43" i="9"/>
  <c r="D34" i="10" l="1"/>
  <c r="E31" i="10" s="1"/>
  <c r="D30" i="7"/>
  <c r="D32" i="7" s="1"/>
  <c r="E8" i="6" s="1"/>
  <c r="E16" i="6" s="1"/>
  <c r="D42" i="10"/>
  <c r="E25" i="6" s="1"/>
  <c r="E27" i="6" s="1"/>
  <c r="G17" i="8"/>
  <c r="G19" i="8" s="1"/>
  <c r="D9" i="9"/>
  <c r="D11" i="9" s="1"/>
  <c r="D12" i="9" s="1"/>
  <c r="D19" i="2" s="1"/>
  <c r="D18" i="2"/>
  <c r="D46" i="9"/>
  <c r="E46" i="5"/>
  <c r="E48" i="5" s="1"/>
  <c r="D36" i="10"/>
  <c r="F22" i="10"/>
  <c r="F38" i="5"/>
  <c r="F11" i="10"/>
  <c r="E31" i="7" l="1"/>
  <c r="E39" i="10"/>
  <c r="E29" i="6"/>
  <c r="D17" i="13" s="1"/>
  <c r="C17" i="13" s="1"/>
  <c r="F8" i="11"/>
  <c r="E40" i="10"/>
  <c r="E33" i="10"/>
  <c r="E32" i="10"/>
  <c r="E8" i="7"/>
  <c r="E16" i="7" s="1"/>
  <c r="E28" i="9"/>
  <c r="E27" i="9" s="1"/>
  <c r="D11" i="13" s="1"/>
  <c r="C11" i="13" s="1"/>
  <c r="E41" i="10"/>
  <c r="E26" i="7" s="1"/>
  <c r="E28" i="7" s="1"/>
  <c r="E20" i="2"/>
  <c r="E50" i="5"/>
  <c r="G21" i="8"/>
  <c r="F21" i="9"/>
  <c r="F39" i="5"/>
  <c r="F21" i="10"/>
  <c r="F27" i="10" s="1"/>
  <c r="F21" i="2" s="1"/>
  <c r="G8" i="10"/>
  <c r="G18" i="6"/>
  <c r="G23" i="6" s="1"/>
  <c r="E34" i="10" l="1"/>
  <c r="E36" i="10" s="1"/>
  <c r="G12" i="10"/>
  <c r="G9" i="10"/>
  <c r="G23" i="7" s="1"/>
  <c r="E42" i="10"/>
  <c r="G32" i="9"/>
  <c r="G8" i="9"/>
  <c r="G17" i="2"/>
  <c r="F28" i="10"/>
  <c r="F45" i="5"/>
  <c r="G43" i="9"/>
  <c r="F39" i="9"/>
  <c r="F45" i="9" s="1"/>
  <c r="F26" i="9"/>
  <c r="E9" i="9"/>
  <c r="E18" i="2"/>
  <c r="E46" i="9"/>
  <c r="D14" i="13" s="1"/>
  <c r="C14" i="13" s="1"/>
  <c r="E30" i="7"/>
  <c r="E32" i="7" s="1"/>
  <c r="F31" i="10" l="1"/>
  <c r="T18" i="11"/>
  <c r="P18" i="11"/>
  <c r="L18" i="11"/>
  <c r="H18" i="11"/>
  <c r="D18" i="11"/>
  <c r="W18" i="11"/>
  <c r="S18" i="11"/>
  <c r="O18" i="11"/>
  <c r="K18" i="11"/>
  <c r="G18" i="11"/>
  <c r="C18" i="11"/>
  <c r="V18" i="11"/>
  <c r="R18" i="11"/>
  <c r="N18" i="11"/>
  <c r="J18" i="11"/>
  <c r="F18" i="11"/>
  <c r="U18" i="11"/>
  <c r="E18" i="11"/>
  <c r="E11" i="9"/>
  <c r="E12" i="9" s="1"/>
  <c r="D22" i="13" s="1"/>
  <c r="Q18" i="11"/>
  <c r="M18" i="11"/>
  <c r="I18" i="11"/>
  <c r="F39" i="10"/>
  <c r="F25" i="6"/>
  <c r="F27" i="6" s="1"/>
  <c r="F8" i="6"/>
  <c r="F16" i="6" s="1"/>
  <c r="F31" i="7"/>
  <c r="G11" i="10"/>
  <c r="F46" i="5"/>
  <c r="F48" i="5" s="1"/>
  <c r="G22" i="10"/>
  <c r="G38" i="5"/>
  <c r="B8" i="12" l="1"/>
  <c r="B18" i="12"/>
  <c r="C20" i="11"/>
  <c r="F29" i="6"/>
  <c r="D18" i="13" s="1"/>
  <c r="C18" i="13" s="1"/>
  <c r="F32" i="10"/>
  <c r="F41" i="10"/>
  <c r="F26" i="7" s="1"/>
  <c r="F28" i="7" s="1"/>
  <c r="F28" i="9"/>
  <c r="F27" i="9" s="1"/>
  <c r="D12" i="13" s="1"/>
  <c r="C12" i="13" s="1"/>
  <c r="F33" i="10"/>
  <c r="F50" i="5"/>
  <c r="F8" i="7"/>
  <c r="F16" i="7" s="1"/>
  <c r="F20" i="2"/>
  <c r="G8" i="11"/>
  <c r="F40" i="10"/>
  <c r="G21" i="10"/>
  <c r="G27" i="10" s="1"/>
  <c r="G21" i="2" s="1"/>
  <c r="H18" i="6"/>
  <c r="C22" i="13"/>
  <c r="E19" i="2"/>
  <c r="G21" i="9"/>
  <c r="G39" i="5"/>
  <c r="F42" i="10" l="1"/>
  <c r="G39" i="10" s="1"/>
  <c r="F30" i="7"/>
  <c r="F32" i="7" s="1"/>
  <c r="G8" i="6" s="1"/>
  <c r="G16" i="6" s="1"/>
  <c r="H23" i="6"/>
  <c r="G28" i="10"/>
  <c r="G45" i="5"/>
  <c r="G39" i="9"/>
  <c r="G45" i="9" s="1"/>
  <c r="G26" i="9"/>
  <c r="F9" i="9"/>
  <c r="F11" i="9" s="1"/>
  <c r="F12" i="9" s="1"/>
  <c r="F19" i="2" s="1"/>
  <c r="F18" i="2"/>
  <c r="F46" i="9"/>
  <c r="F34" i="10"/>
  <c r="G25" i="6" l="1"/>
  <c r="G27" i="6" s="1"/>
  <c r="G29" i="6" s="1"/>
  <c r="D19" i="13" s="1"/>
  <c r="C19" i="13" s="1"/>
  <c r="G31" i="7"/>
  <c r="G46" i="5"/>
  <c r="G48" i="5" s="1"/>
  <c r="G31" i="10"/>
  <c r="F36" i="10"/>
  <c r="G41" i="10" l="1"/>
  <c r="G26" i="7" s="1"/>
  <c r="G28" i="7" s="1"/>
  <c r="G40" i="10"/>
  <c r="G33" i="10"/>
  <c r="G28" i="9"/>
  <c r="G27" i="9" s="1"/>
  <c r="D13" i="13" s="1"/>
  <c r="C13" i="13" s="1"/>
  <c r="G32" i="10"/>
  <c r="G50" i="5"/>
  <c r="G8" i="7"/>
  <c r="G16" i="7" s="1"/>
  <c r="G20" i="2"/>
  <c r="G34" i="10" l="1"/>
  <c r="G36" i="10" s="1"/>
  <c r="G30" i="7"/>
  <c r="G32" i="7" s="1"/>
  <c r="H8" i="6" s="1"/>
  <c r="H16" i="6" s="1"/>
  <c r="G42" i="10"/>
  <c r="H25" i="6" s="1"/>
  <c r="H27" i="6" s="1"/>
  <c r="G9" i="9"/>
  <c r="G11" i="9" s="1"/>
  <c r="G12" i="9" s="1"/>
  <c r="G18" i="2"/>
  <c r="G46" i="9"/>
  <c r="C13" i="11" l="1"/>
  <c r="H8" i="11" s="1"/>
  <c r="C11" i="11" s="1"/>
  <c r="H29" i="6"/>
  <c r="D20" i="13" s="1"/>
  <c r="C20" i="13" s="1"/>
  <c r="H11" i="2"/>
  <c r="G19" i="2"/>
  <c r="C10" i="11" l="1"/>
  <c r="D25" i="13" s="1"/>
  <c r="C25" i="13" s="1"/>
  <c r="D26" i="13" l="1"/>
  <c r="C26" i="13" s="1"/>
  <c r="C29" i="13" s="1"/>
  <c r="C30" i="13"/>
</calcChain>
</file>

<file path=xl/sharedStrings.xml><?xml version="1.0" encoding="utf-8"?>
<sst xmlns="http://schemas.openxmlformats.org/spreadsheetml/2006/main" count="567" uniqueCount="406">
  <si>
    <t>M&amp;A Accretion / Dilution Model</t>
  </si>
  <si>
    <t>Transaction Analysis (v3 — institutional rebuild)</t>
  </si>
  <si>
    <t>Sheet Index</t>
  </si>
  <si>
    <t>Inputs — acquirer, target, deal terms, synergies, PPA</t>
  </si>
  <si>
    <t>Sources &amp; Uses, PPA bridge, implied multiples, exchange ratio</t>
  </si>
  <si>
    <t>Combined income statement with synergies + deal-fee amort + integration</t>
  </si>
  <si>
    <t>Day 1 + 5-year pro-forma balance sheet with check</t>
  </si>
  <si>
    <t>5-year cash flow statement tying to BS</t>
  </si>
  <si>
    <t>Acquirer-only P&amp;L (counterfactual)</t>
  </si>
  <si>
    <t>EPS comparison, $ contribution bridge, $/share EPS bridge</t>
  </si>
  <si>
    <t>Debt schedule + leverage and coverage ratios</t>
  </si>
  <si>
    <t>Acquirer equity IRR + break-even cost synergies</t>
  </si>
  <si>
    <t>Two-way grids: premium vs synergies; premium vs cash mix</t>
  </si>
  <si>
    <t>Consolidated integrity checks (PASS/FAIL)</t>
  </si>
  <si>
    <t>Legal disclaimer, copyright, MIT license</t>
  </si>
  <si>
    <t>About this model</t>
  </si>
  <si>
    <t>Institutional-grade M&amp;A model. Builds a pro-forma 3-statement combination (IS, BS, CF) of acquirer + target over 5 years with deal-fee amortisation, integration costs, tangible step-up, and a single-source-of-truth debt schedule. Outputs: accretion / dilution per year, EPS bridge (in $ and $/share), Sources &amp; Uses, simplified PPA with goodwill, leverage and coverage metrics, buyer equity IRR with break-even cost synergies, and two-way sensitivity grids. Acknowledged simplifications: working capital flat (ΔWC = 0), no tax-shield modelling, no monthly cash, no FX. See design.md for the full simplification log.</t>
  </si>
  <si>
    <t>An M&amp;A Modeling &amp; Valuation template provides comprehensive target valuation using three methods: standalone DCF (discounted cash flow with free cash flow projections), trading comparables (public company EV/EBITDA multiples), and precedent transactions (prior M&amp;A deal multiples). The model builds a forward 5-year P&amp;L for the target, computes unlevered free cash flow, applies a WACC (typically 7-10% for mid-market industrial targets), and derives enterprise value. Comparable company analysis extracts median EV/EBITDA, EV/Revenue, and P/E multiples from peer groups; precedent transactions adjust for deal timing and buyer-specific synergies. The final valuation range (football field) anchors buyer offer strategy and integration planning.
Once valuation is established, the Deal_Structure sheet models pro-forma financing: all-cash, stock, or mixed consideration. The Synergies_Analysis quantifies cost synergies (headcount reduction, procurement savings, overhead elimination), revenue synergies (cross-sell, geographic expansion), and integration costs (severance, system migration). Pro-forma accretion/dilution is computed: if the buyer's existing EPS and the deal's pro-forma EPS diverge, the transaction is accretive (boosts EPS) or dilutive (reduces EPS) on a per-share basis. The Buyer_Returns sheet models levered cash returns to the buyerâequity IRR and cash-on-cash multipleâfactoring in deal leverage, exit multiple (typically flat to 50-100 bps compression), and hold period. Acquisition price sensitivities are crucial: buyer's walks if cost of capital or synergies don't support deal returns.
This model is essential for M&amp;A bankers, corporate development teams, and private equity sponsors evaluating acquisitions. Typical target valuation ranges from 6-12Ã EBITDA depending on industry and growth profile; buyer decision thresholds often require &gt;15% levered IRR or &gt;2.0Ã equity multiple. The three-method approach provides defensible negotiation fodder for both buyer and seller.</t>
  </si>
  <si>
    <t>About Finamodel</t>
  </si>
  <si>
    <t>A free, open library of institutional-quality financial models covering every industry — banking, real estate, energy, SaaS, biotech, infrastructure, and dozens more. Every cell is editable, every formula is transparent, and every template is built to be forked, adapted, and rebuilt for your own use case. MIT-licensed — use them commercially, share them, modify them, no attribution required.</t>
  </si>
  <si>
    <t>Thanks for downloading my templates! Feel free to check out other free templates on my site.</t>
  </si>
  <si>
    <t>— Alex Tapio, Founder of Finamodel.com</t>
  </si>
  <si>
    <t>Dashboard</t>
  </si>
  <si>
    <t>M&amp;A accretion / dilution at a glance — deal, financing, synergies, pro-forma EPS</t>
  </si>
  <si>
    <t>Key Deal Metrics</t>
  </si>
  <si>
    <t>Equity Purchase Price</t>
  </si>
  <si>
    <t>Enterprise Value</t>
  </si>
  <si>
    <t>Offer Premium</t>
  </si>
  <si>
    <t>Run-rate Synergies</t>
  </si>
  <si>
    <t>New Acquisition Debt</t>
  </si>
  <si>
    <t>Offer to target equity ($M</t>
  </si>
  <si>
    <t>Incl. assumed net debt ($M</t>
  </si>
  <si>
    <t>Over unaffected price</t>
  </si>
  <si>
    <t>Revenue + cost ($M/yr</t>
  </si>
  <si>
    <t>Debt financing ($M</t>
  </si>
  <si>
    <t>Pro-Forma EPS (Yr 1</t>
  </si>
  <si>
    <t>Standalone EPS (Yr 1</t>
  </si>
  <si>
    <t>Accretion / (Dilution) Yr1</t>
  </si>
  <si>
    <t>Accretion / (Dilution) Yr5</t>
  </si>
  <si>
    <t>PF Leverage (Yr 1)</t>
  </si>
  <si>
    <t>Combined entity</t>
  </si>
  <si>
    <t>Acquirer alone</t>
  </si>
  <si>
    <t>EPS vs standalone</t>
  </si>
  <si>
    <t>Debt / EBITDA</t>
  </si>
  <si>
    <t>Accretion / Dilution Summary by Year</t>
  </si>
  <si>
    <t>Metric</t>
  </si>
  <si>
    <t>Standalone EPS</t>
  </si>
  <si>
    <t>Pro Forma EPS</t>
  </si>
  <si>
    <t>Accretion / (Dilution) %</t>
  </si>
  <si>
    <t>Pro Forma Net Income</t>
  </si>
  <si>
    <t>Charts</t>
  </si>
  <si>
    <t>EPS Accretion / (Dilution) Bridge — Year 1 ($/share</t>
  </si>
  <si>
    <t>Consideration Mix (helper</t>
  </si>
  <si>
    <t>Cash Consideration</t>
  </si>
  <si>
    <t>Stock Consideration</t>
  </si>
  <si>
    <t>EPS Bridge Data (helper</t>
  </si>
  <si>
    <t>+ Target Earnings</t>
  </si>
  <si>
    <t>+ Synergies</t>
  </si>
  <si>
    <t>Integration</t>
  </si>
  <si>
    <t>Financing Cost</t>
  </si>
  <si>
    <t>PPA / Step-Up Amort</t>
  </si>
  <si>
    <t>Deal Fees</t>
  </si>
  <si>
    <t>Share Dilution Drag</t>
  </si>
  <si>
    <t>Assumptions</t>
  </si>
  <si>
    <t>Key Inputs</t>
  </si>
  <si>
    <t>Acquirer Profile</t>
  </si>
  <si>
    <t>Revenue</t>
  </si>
  <si>
    <t>$M</t>
  </si>
  <si>
    <t>LTM revenue</t>
  </si>
  <si>
    <t>Revenue Growth</t>
  </si>
  <si>
    <t>%</t>
  </si>
  <si>
    <t>EBITDA Margin</t>
  </si>
  <si>
    <t>D&amp;A (% Revenue)</t>
  </si>
  <si>
    <t>Interest Expense</t>
  </si>
  <si>
    <t>On existing debt (Y1 only</t>
  </si>
  <si>
    <t>Existing Debt Amort</t>
  </si>
  <si>
    <t>Annual principal paydown</t>
  </si>
  <si>
    <t>Tax Rate</t>
  </si>
  <si>
    <t>Share Price</t>
  </si>
  <si>
    <t>$</t>
  </si>
  <si>
    <t>Shares Outstanding</t>
  </si>
  <si>
    <t>M</t>
  </si>
  <si>
    <t>Existing Debt</t>
  </si>
  <si>
    <t>Pre-deal</t>
  </si>
  <si>
    <t>Cash</t>
  </si>
  <si>
    <t>Pre-deal BS</t>
  </si>
  <si>
    <t>Other Assets</t>
  </si>
  <si>
    <t>PP&amp;E + intangibles pre-deal; tuned with Equity for BS balance</t>
  </si>
  <si>
    <t>Goodwill (pre-deal)</t>
  </si>
  <si>
    <t>Existing book goodwill</t>
  </si>
  <si>
    <t>Other Liabilities</t>
  </si>
  <si>
    <t>Book Equity (pre-deal)</t>
  </si>
  <si>
    <t>Plug: Cash+Other+GW − Debt − OtherLiab; tuned for Day-1 BS balance</t>
  </si>
  <si>
    <t>Target Profile</t>
  </si>
  <si>
    <t>D&amp;A (% Revenue</t>
  </si>
  <si>
    <t>Standalone target interest — refinanced at close (assumption</t>
  </si>
  <si>
    <t>Pre-announcement</t>
  </si>
  <si>
    <t>Net Debt</t>
  </si>
  <si>
    <t>Refinanced via new debt at close</t>
  </si>
  <si>
    <t>Transaction Terms</t>
  </si>
  <si>
    <t>Cash Percentage</t>
  </si>
  <si>
    <t>% of equity consideration paid in cash</t>
  </si>
  <si>
    <t>Advisory Fees</t>
  </si>
  <si>
    <t>Banker + legal + accounting</t>
  </si>
  <si>
    <t>Financing Fees</t>
  </si>
  <si>
    <t>Underwriting OID — amortised over Debt_Tenor</t>
  </si>
  <si>
    <t>Acquirer Cash Used</t>
  </si>
  <si>
    <t>From acquirer BS</t>
  </si>
  <si>
    <t>Capitalise Advisory?</t>
  </si>
  <si>
    <t>TRUE/FALSE</t>
  </si>
  <si>
    <t>FALSE = expense Y1; TRUE = amortise over Deal_Asset_Life</t>
  </si>
  <si>
    <t>Deal Asset Life</t>
  </si>
  <si>
    <t>years</t>
  </si>
  <si>
    <t>Amortisation period when Capitalise_Advisory = TRUE</t>
  </si>
  <si>
    <t>Financing</t>
  </si>
  <si>
    <t>New Debt Rate</t>
  </si>
  <si>
    <t>Debt Tenor</t>
  </si>
  <si>
    <t>Balloon maturity</t>
  </si>
  <si>
    <t>Amortisation</t>
  </si>
  <si>
    <t>Annual % of original principal</t>
  </si>
  <si>
    <t>Foregone Cash Rate</t>
  </si>
  <si>
    <t>Opportunity cost on cash used</t>
  </si>
  <si>
    <t>Foregone Decay Years</t>
  </si>
  <si>
    <t>Linear ramp from full to zero (v3: Y1 full, Y2 half, Y3+ zero</t>
  </si>
  <si>
    <t>Synergies</t>
  </si>
  <si>
    <t>Revenue Synergies</t>
  </si>
  <si>
    <t>$M/yr</t>
  </si>
  <si>
    <t>At full run-rate</t>
  </si>
  <si>
    <t>Synergy Margin</t>
  </si>
  <si>
    <t>EBITDA margin on rev synergies</t>
  </si>
  <si>
    <t>Cost Synergies</t>
  </si>
  <si>
    <t>Phase-in Year 1</t>
  </si>
  <si>
    <t>Phase-in Year 2</t>
  </si>
  <si>
    <t>Phase-in Year 3</t>
  </si>
  <si>
    <t>Phase-in Year 4</t>
  </si>
  <si>
    <t>Phase-in Year 5</t>
  </si>
  <si>
    <t>Integration Costs</t>
  </si>
  <si>
    <t>Integration Multiplier</t>
  </si>
  <si>
    <t>x</t>
  </si>
  <si>
    <t>× cost synergies run-rate, spread across phase weights</t>
  </si>
  <si>
    <t>Integration Phase Y1</t>
  </si>
  <si>
    <t>Integration Phase Y2</t>
  </si>
  <si>
    <t>Integration Phase Y3</t>
  </si>
  <si>
    <t>Integration Phase Y4</t>
  </si>
  <si>
    <t>Integration Phase Y5</t>
  </si>
  <si>
    <t>Purchase Price Allocation</t>
  </si>
  <si>
    <t>NTA (% Revenue, gross)</t>
  </si>
  <si>
    <t>v3: gross tangibles only (Tgt_Revenue × NTA_Pct), no net-debt deduction</t>
  </si>
  <si>
    <t>Tangible Step-Up %</t>
  </si>
  <si>
    <t>Fair-value mark — diagnostic only in v3 (subsumed in GW</t>
  </si>
  <si>
    <t>Tangible Useful Life</t>
  </si>
  <si>
    <t>Reserved for v4 step-up amort modelling</t>
  </si>
  <si>
    <t>Intangibles (% EV)</t>
  </si>
  <si>
    <t>Identifiable intangibles</t>
  </si>
  <si>
    <t>Intangible Useful Life</t>
  </si>
  <si>
    <t>DTL Rate</t>
  </si>
  <si>
    <t>Deferred tax liability on step-ups</t>
  </si>
  <si>
    <t>Operating / Capex / Returns</t>
  </si>
  <si>
    <t>Maintenance Capex (% Revenue)</t>
  </si>
  <si>
    <t>Combined entity, all years</t>
  </si>
  <si>
    <t>Dividend Payout</t>
  </si>
  <si>
    <t>Of pro-forma NI</t>
  </si>
  <si>
    <t>Exit EBITDA Multiple</t>
  </si>
  <si>
    <t>Year-5 terminal value for buyer IRR</t>
  </si>
  <si>
    <t>Sensitivity Ranges</t>
  </si>
  <si>
    <t>Premium Step (±)</t>
  </si>
  <si>
    <t>pp</t>
  </si>
  <si>
    <t>Sensitivity step around Offer_Premium (±1× and ±2× step</t>
  </si>
  <si>
    <t>Cost Syn Step ($M)</t>
  </si>
  <si>
    <t>Sensitivity step around Cost_Synergies</t>
  </si>
  <si>
    <t>Cash % Step (±)</t>
  </si>
  <si>
    <t>Sensitivity step around Cash_Pct</t>
  </si>
  <si>
    <t>Derived Values</t>
  </si>
  <si>
    <t>Offer Price</t>
  </si>
  <si>
    <t>Equity Purchase</t>
  </si>
  <si>
    <t>New Shares Issued</t>
  </si>
  <si>
    <t>New Debt Raised</t>
  </si>
  <si>
    <t>Pro Forma Shares</t>
  </si>
  <si>
    <t>Transaction Summary</t>
  </si>
  <si>
    <t>Deal Structure &amp; PPA</t>
  </si>
  <si>
    <t>Sources</t>
  </si>
  <si>
    <t>Uses</t>
  </si>
  <si>
    <t>New Debt</t>
  </si>
  <si>
    <t>Target Net Debt</t>
  </si>
  <si>
    <t>Cash from BS</t>
  </si>
  <si>
    <t>TOTAL SOURCES</t>
  </si>
  <si>
    <t>TOTAL USES</t>
  </si>
  <si>
    <t>Sources − Uses</t>
  </si>
  <si>
    <t>Must = 0</t>
  </si>
  <si>
    <t>Net Tangible Assets (gross)</t>
  </si>
  <si>
    <t>Tgt_Revenue × NTA_Pct (no net-debt deduction</t>
  </si>
  <si>
    <t>Tangible Step-Up (diagnostic)</t>
  </si>
  <si>
    <t>Fair-value mark on tangibles — subsumed in GW (v3</t>
  </si>
  <si>
    <t>Intangible Assets</t>
  </si>
  <si>
    <t>Target Net Debt (assumed)</t>
  </si>
  <si>
    <t>Refinanced by new debt at close</t>
  </si>
  <si>
    <t>Deferred Tax Liability</t>
  </si>
  <si>
    <t>Tax on intangible step-up (DTL on tangible step-up tracked separately on BS</t>
  </si>
  <si>
    <t>GOODWILL</t>
  </si>
  <si>
    <t>EV − NTA(gross) − Intangibles + DTL</t>
  </si>
  <si>
    <t>PPA Check</t>
  </si>
  <si>
    <t>Independent check via Equity_Purchase = NTA + Intang + GW − DTL − Net Debt</t>
  </si>
  <si>
    <t>Implied Multiples</t>
  </si>
  <si>
    <t>EV / Revenue</t>
  </si>
  <si>
    <t>EV / EBITDA</t>
  </si>
  <si>
    <t>Price / Earnings</t>
  </si>
  <si>
    <t>Exchange Ratio</t>
  </si>
  <si>
    <t>Acquirer shares per target share</t>
  </si>
  <si>
    <t>Pro Forma Income Statement</t>
  </si>
  <si>
    <t>Combined Entity — 5-year projection</t>
  </si>
  <si>
    <t>Year 1</t>
  </si>
  <si>
    <t>Year 2</t>
  </si>
  <si>
    <t>Year 3</t>
  </si>
  <si>
    <t>Year 4</t>
  </si>
  <si>
    <t>Year 5</t>
  </si>
  <si>
    <t>Acquirer</t>
  </si>
  <si>
    <t>EBITDA</t>
  </si>
  <si>
    <t>D&amp;A</t>
  </si>
  <si>
    <t>Acquirer EBIT</t>
  </si>
  <si>
    <t>Target</t>
  </si>
  <si>
    <t>Target EBIT</t>
  </si>
  <si>
    <t>Synergy EBITDA</t>
  </si>
  <si>
    <t>Total Synergy EBITDA</t>
  </si>
  <si>
    <t>Combined</t>
  </si>
  <si>
    <t>Combined Revenue</t>
  </si>
  <si>
    <t>Combined EBITDA (gross</t>
  </si>
  <si>
    <t>Combined EBITDA (net of integration</t>
  </si>
  <si>
    <t>Combined D&amp;A</t>
  </si>
  <si>
    <t>PPA Intangible Amort</t>
  </si>
  <si>
    <t>Tangible Step-Up Amort (subsumed</t>
  </si>
  <si>
    <t>Total D&amp;A</t>
  </si>
  <si>
    <t>Combined EBIT</t>
  </si>
  <si>
    <t>Interest &amp; Deal-Related Expense</t>
  </si>
  <si>
    <t>Acquirer Interest</t>
  </si>
  <si>
    <t>New Debt Interest</t>
  </si>
  <si>
    <t>Total Debt Interest</t>
  </si>
  <si>
    <t>Transaction Fees</t>
  </si>
  <si>
    <t>Financing Fee Amortisation</t>
  </si>
  <si>
    <t>Foregone Cash Interest</t>
  </si>
  <si>
    <t>Total Other Deal Expense</t>
  </si>
  <si>
    <t>Pro Forma EBT</t>
  </si>
  <si>
    <t>Tax</t>
  </si>
  <si>
    <t>PRO FORMA NET INCOME</t>
  </si>
  <si>
    <t>Pro Forma Balance Sheet</t>
  </si>
  <si>
    <t>Day 1 + 5-year projection</t>
  </si>
  <si>
    <t>Day 1</t>
  </si>
  <si>
    <t>Assets</t>
  </si>
  <si>
    <t>Other Assets (PP&amp;E, etc.</t>
  </si>
  <si>
    <t>Goodwill</t>
  </si>
  <si>
    <t>Intangibles (net</t>
  </si>
  <si>
    <t>Tangible Step-Up (subsumed in GW</t>
  </si>
  <si>
    <t>Deal Asset (Advisory</t>
  </si>
  <si>
    <t>Financing Fee Asset (net</t>
  </si>
  <si>
    <t>TOTAL ASSETS</t>
  </si>
  <si>
    <t>Liabilities &amp; Equity</t>
  </si>
  <si>
    <t>Acquirer Existing Debt</t>
  </si>
  <si>
    <t>Total Liabilities</t>
  </si>
  <si>
    <t>Equity</t>
  </si>
  <si>
    <t>TOTAL L&amp;E</t>
  </si>
  <si>
    <t>Pro Forma Cash Flow Statement</t>
  </si>
  <si>
    <t>5-year — ties to BS cash</t>
  </si>
  <si>
    <t>Operating Section</t>
  </si>
  <si>
    <t>Net Income</t>
  </si>
  <si>
    <t>+ D&amp;A (combined</t>
  </si>
  <si>
    <t>+ PPA Amort</t>
  </si>
  <si>
    <t>+ Tangible Step-Up Amort</t>
  </si>
  <si>
    <t>+ Financing Fee Amort</t>
  </si>
  <si>
    <t>+ Txn Fee Amort (non-cash</t>
  </si>
  <si>
    <t>ΔWorking Capital</t>
  </si>
  <si>
    <t>Cash from Operations</t>
  </si>
  <si>
    <t>Investing Section</t>
  </si>
  <si>
    <t>Deal-Related Investing</t>
  </si>
  <si>
    <t>Maintenance Capex</t>
  </si>
  <si>
    <t>Cash from Investing</t>
  </si>
  <si>
    <t>Financing Section</t>
  </si>
  <si>
    <t>New Debt Amortisation</t>
  </si>
  <si>
    <t>New Debt Balloon</t>
  </si>
  <si>
    <t>Acquirer Debt Amortisation</t>
  </si>
  <si>
    <t>Cash to Shareholders</t>
  </si>
  <si>
    <t>Cash from Financing</t>
  </si>
  <si>
    <t>Net Δ Cash</t>
  </si>
  <si>
    <t>Opening Cash</t>
  </si>
  <si>
    <t>CLOSING CASH</t>
  </si>
  <si>
    <t>Standalone Income Statement</t>
  </si>
  <si>
    <t>Acquirer Only (counterfactual</t>
  </si>
  <si>
    <t>EBIT</t>
  </si>
  <si>
    <t>EBT</t>
  </si>
  <si>
    <t>STANDALONE NET INCOME</t>
  </si>
  <si>
    <t>Accretion / Dilution Analysis</t>
  </si>
  <si>
    <t>EPS comparison + $ and $/share bridges</t>
  </si>
  <si>
    <t>EPS Comparison</t>
  </si>
  <si>
    <t>Accretion / (Dilution) $</t>
  </si>
  <si>
    <t>$ Contribution Analysis (NI Bridge</t>
  </si>
  <si>
    <t>Target Net Earnings</t>
  </si>
  <si>
    <t>+ Revenue Synergies</t>
  </si>
  <si>
    <t>+ Cost Synergies</t>
  </si>
  <si>
    <t>− Integration Costs</t>
  </si>
  <si>
    <t>− PPA Amort</t>
  </si>
  <si>
    <t>− Tangible Step-Up Amort</t>
  </si>
  <si>
    <t>− New Debt Interest</t>
  </si>
  <si>
    <t>− Foregone Cash Interest</t>
  </si>
  <si>
    <t>− Transaction Fees</t>
  </si>
  <si>
    <t>− Financing Fee Amort</t>
  </si>
  <si>
    <t>Net NI Contribution</t>
  </si>
  <si>
    <t>Bridge Tie (must = 0</t>
  </si>
  <si>
    <t>PF_NI − SA_NI (reference</t>
  </si>
  <si>
    <t>$/share EPS Bridge</t>
  </si>
  <si>
    <t>+ Target Earnings / PF Shares</t>
  </si>
  <si>
    <t>+ Revenue Synergies / PF Shares</t>
  </si>
  <si>
    <t>+ Cost Synergies / PF Shares</t>
  </si>
  <si>
    <t>− Integration / PF Shares</t>
  </si>
  <si>
    <t>− PPA Amort / PF Shares</t>
  </si>
  <si>
    <t>− Tangible Step-Up / PF Shares</t>
  </si>
  <si>
    <t>− New Debt Int / PF Shares</t>
  </si>
  <si>
    <t>− Foregone Int / PF Shares</t>
  </si>
  <si>
    <t>− Txn Fees / PF Shares</t>
  </si>
  <si>
    <t>− Fin Fee Amort / PF Shares</t>
  </si>
  <si>
    <t>− Share Dilution Drag</t>
  </si>
  <si>
    <t>Pro Forma EPS (bridge sum</t>
  </si>
  <si>
    <t>Bridge Tie ($/share, must = 0</t>
  </si>
  <si>
    <t>Credit Metrics</t>
  </si>
  <si>
    <t>Debt Schedule + Leverage &amp; Coverage</t>
  </si>
  <si>
    <t>Acquisition Debt</t>
  </si>
  <si>
    <t>Opening Balance</t>
  </si>
  <si>
    <t>Balloon Repayment</t>
  </si>
  <si>
    <t>Closing Balance</t>
  </si>
  <si>
    <t>Total Debt</t>
  </si>
  <si>
    <t>TOTAL DEBT</t>
  </si>
  <si>
    <t>Total Debt-Schedule Interest</t>
  </si>
  <si>
    <t>Leverage Ratios</t>
  </si>
  <si>
    <t>Combined EBITDA</t>
  </si>
  <si>
    <t>Interest Coverage (EBITDA/Int</t>
  </si>
  <si>
    <t>Pro-forma Equity (market-cap proxy</t>
  </si>
  <si>
    <t>Opening Equity (proxy</t>
  </si>
  <si>
    <t>Dividends Declared</t>
  </si>
  <si>
    <t>Closing Equity (proxy</t>
  </si>
  <si>
    <t>Debt / Equity (proxy</t>
  </si>
  <si>
    <t>Book Equity (accounting rollforward</t>
  </si>
  <si>
    <t>Opening Book Equity</t>
  </si>
  <si>
    <t>+ Net Income</t>
  </si>
  <si>
    <t>Closing Book Equity</t>
  </si>
  <si>
    <t>Buyer Returns</t>
  </si>
  <si>
    <t>Equity IRR &amp; break-even</t>
  </si>
  <si>
    <t>Day 0</t>
  </si>
  <si>
    <t>Cash flow strip ($M</t>
  </si>
  <si>
    <t>Equity invested</t>
  </si>
  <si>
    <t>Dividends</t>
  </si>
  <si>
    <t>Dividends + Terminal</t>
  </si>
  <si>
    <t>Buyer Equity CF</t>
  </si>
  <si>
    <t>Buyer Equity IRR</t>
  </si>
  <si>
    <t>MOIC</t>
  </si>
  <si>
    <t>Y5 Terminal Equity Value (full</t>
  </si>
  <si>
    <t>Break-Even Cost Synergies (Y3 = 0%</t>
  </si>
  <si>
    <t>Cost Synergies ($M</t>
  </si>
  <si>
    <t>Y3 Accretion %</t>
  </si>
  <si>
    <t>Break-Even CS (Y3 % = 0</t>
  </si>
  <si>
    <t>$M cost synergies needed for Y3 = 0%</t>
  </si>
  <si>
    <t>IRR Lower Bound (diagnostic</t>
  </si>
  <si>
    <t>IRR Upper Bound (diagnostic</t>
  </si>
  <si>
    <t>Sensitivity Analysis</t>
  </si>
  <si>
    <t>Year-3 EPS Accretion %</t>
  </si>
  <si>
    <t>Premium vs Cost Synergies</t>
  </si>
  <si>
    <t>Premium vs Cash Mix</t>
  </si>
  <si>
    <t>Integrity Checks</t>
  </si>
  <si>
    <t>Consolidated PASS/FAIL</t>
  </si>
  <si>
    <t>Check</t>
  </si>
  <si>
    <t>Result</t>
  </si>
  <si>
    <t>Value</t>
  </si>
  <si>
    <t>Tolerance</t>
  </si>
  <si>
    <t>Notes</t>
  </si>
  <si>
    <t>Sources − Uses tie</t>
  </si>
  <si>
    <t>Sources must equal Uses</t>
  </si>
  <si>
    <t>PPA Check (independent identity</t>
  </si>
  <si>
    <t>Equity_Purchase − (NTA + Step-Up + Intang + GW − DTL − Net Debt) = 0</t>
  </si>
  <si>
    <t>Bridge Tie Y1 ($</t>
  </si>
  <si>
    <t>Net_NI_Contribution − (PF_NI − SA_NI) per year</t>
  </si>
  <si>
    <t>Bridge Tie Y2 ($</t>
  </si>
  <si>
    <t>Bridge Tie Y3 ($</t>
  </si>
  <si>
    <t>Bridge Tie Y4 ($</t>
  </si>
  <si>
    <t>Bridge Tie Y5 ($</t>
  </si>
  <si>
    <t>Bridge Tie EPS Y3 ($/share</t>
  </si>
  <si>
    <t>$/share EPS bridge ties to PF_EPS</t>
  </si>
  <si>
    <t>BS balance Day-1</t>
  </si>
  <si>
    <t>Assets − L&amp;E</t>
  </si>
  <si>
    <t>BS balance Y1</t>
  </si>
  <si>
    <t>BS balance Y2</t>
  </si>
  <si>
    <t>BS balance Y3</t>
  </si>
  <si>
    <t>BS balance Y4</t>
  </si>
  <si>
    <t>BS balance Y5</t>
  </si>
  <si>
    <t>Debt schedule continuity</t>
  </si>
  <si>
    <t>Y2 opening = Y1 closing</t>
  </si>
  <si>
    <t>Sensitivity base = Accretion Y3</t>
  </si>
  <si>
    <t>30% premium, $150M cost syn</t>
  </si>
  <si>
    <t>Integration_Phase headroom (must &gt;= 0</t>
  </si>
  <si>
    <t>2.0 − sum(phase weights); negative =&gt; exceeds 2× run-rate</t>
  </si>
  <si>
    <t>Exchange Ratio (must &gt; 0</t>
  </si>
  <si>
    <t>Acquirer shares per target share — diagnostic only</t>
  </si>
  <si>
    <t>Buyer return vs lower bound</t>
  </si>
  <si>
    <t>Equity return must exceed lower bound (Buyer_Returns!IRR_Lo</t>
  </si>
  <si>
    <t>Buyer return vs upper bound</t>
  </si>
  <si>
    <t>Equity return diagnostic vs upper bound (Buyer_Returns!IRR_Hi</t>
  </si>
  <si>
    <t>PASS Count</t>
  </si>
  <si>
    <t>FAIL Count</t>
  </si>
  <si>
    <t>Buyer Ownership % (Acquirer shares ÷ Pro Forma shares)</t>
  </si>
  <si>
    <t>Cost Synergy</t>
  </si>
  <si>
    <t>Cash Mix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</si>
</sst>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
    <numFmt numFmtId="166" formatCode="\$#,##0.00"/>
    <numFmt numFmtId="167" formatCode="0.00\x"/>
    <numFmt numFmtId="168" formatCode="&quot;TRUE&quot;;&quot;TRUE&quot;;&quot;FALSE&quot;"/>
    <numFmt numFmtId="171" formatCode="#,##0.0;\(#,##0.0\);\-"/>
    <numFmt numFmtId="185" formatCode="0.0%"/>
    <numFmt numFmtId="189" formatCode="\$0"/>
    <numFmt numFmtId="190" formatCode="#,##0.00;\(#,##0.00\);\-"/>
  </numFmts>
  <fonts count="28" x14ac:knownFonts="1">
    <font>
      <sz val="11"/>
      <name val="Arial"/>
      <charset val="1"/>
    </font>
    <font>
      <sz val="11"/>
      <color theme="0"/>
      <name val="Arial"/>
      <family val="2"/>
      <charset val="1"/>
    </font>
    <font>
      <sz val="11"/>
      <color theme="0"/>
      <name val="Calibri"/>
      <family val="2"/>
      <charset val="1"/>
    </font>
    <font>
      <b/>
      <sz val="18"/>
      <color theme="0"/>
      <name val="Arial"/>
      <family val="2"/>
      <charset val="1"/>
    </font>
    <font>
      <b/>
      <u/>
      <sz val="11"/>
      <color theme="0"/>
      <name val="Arial"/>
      <family val="2"/>
      <charset val="1"/>
    </font>
    <font>
      <i/>
      <sz val="11"/>
      <color theme="0"/>
      <name val="Arial"/>
      <family val="2"/>
      <charset val="1"/>
    </font>
    <font>
      <sz val="11"/>
      <color theme="1"/>
      <name val="Arial"/>
      <family val="2"/>
      <charset val="1"/>
    </font>
    <font>
      <b/>
      <sz val="11"/>
      <color theme="3"/>
      <name val="Arial"/>
      <family val="2"/>
      <charset val="1"/>
    </font>
    <font>
      <sz val="11"/>
      <color rgb="FF000000"/>
      <name val="Arial"/>
      <family val="2"/>
      <charset val="1"/>
    </font>
    <font>
      <u/>
      <sz val="11"/>
      <color theme="3"/>
      <name val="Arial"/>
      <family val="2"/>
      <charset val="1"/>
    </font>
    <font>
      <i/>
      <sz val="11"/>
      <color rgb="FF595959"/>
      <name val="Arial"/>
      <family val="2"/>
      <charset val="1"/>
    </font>
    <font>
      <sz val="11"/>
      <color theme="3"/>
      <name val="Calibri"/>
      <family val="2"/>
      <charset val="1"/>
    </font>
    <font>
      <sz val="11"/>
      <color rgb="FF262626"/>
      <name val="Arial"/>
      <family val="2"/>
      <charset val="1"/>
    </font>
    <font>
      <b/>
      <i/>
      <sz val="11"/>
      <color theme="3"/>
      <name val="Arial"/>
      <family val="2"/>
      <charset val="1"/>
    </font>
    <font>
      <sz val="11"/>
      <color theme="1"/>
      <name val="Calibri"/>
      <family val="2"/>
      <charset val="1"/>
    </font>
    <font>
      <b/>
      <sz val="11"/>
      <color theme="0"/>
      <name val="Arial"/>
      <family val="2"/>
      <charset val="1"/>
    </font>
    <font>
      <b/>
      <sz val="10"/>
      <color theme="3"/>
      <name val="Arial"/>
      <family val="2"/>
      <charset val="1"/>
    </font>
    <font>
      <b/>
      <sz val="18"/>
      <color rgb="FF000000"/>
      <name val="Arial"/>
      <family val="2"/>
      <charset val="1"/>
    </font>
    <font>
      <i/>
      <sz val="9"/>
      <color rgb="FF595959"/>
      <name val="Arial"/>
      <family val="2"/>
      <charset val="1"/>
    </font>
    <font>
      <b/>
      <sz val="10"/>
      <color theme="0"/>
      <name val="Arial"/>
      <family val="2"/>
      <charset val="1"/>
    </font>
    <font>
      <b/>
      <sz val="11"/>
      <color rgb="FF000000"/>
      <name val="Arial"/>
      <family val="2"/>
      <charset val="1"/>
    </font>
    <font>
      <b/>
      <sz val="11"/>
      <name val="Arial"/>
      <family val="2"/>
      <charset val="1"/>
    </font>
    <font>
      <sz val="11"/>
      <color rgb="FF1F4E79"/>
      <name val="Arial"/>
      <family val="2"/>
      <charset val="1"/>
    </font>
    <font>
      <b/>
      <sz val="11"/>
      <color rgb="FFC00000"/>
      <name val="Arial"/>
      <family val="2"/>
      <charset val="1"/>
    </font>
    <font>
      <sz val="11"/>
      <color theme="3"/>
      <name val="Arial"/>
      <family val="2"/>
      <charset val="1"/>
    </font>
    <font>
      <b/>
      <i/>
      <sz val="11"/>
      <name val="Arial"/>
      <family val="2"/>
    </font>
    <font>
      <sz val="11"/>
      <name val="Arial"/>
      <family val="2"/>
    </font>
    <font>
      <sz val="11"/>
      <color theme="1"/>
      <name val="Arial"/>
      <family val="2"/>
    </font>
  </fonts>
  <fills count="14">
    <fill>
      <patternFill patternType="none"/>
    </fill>
    <fill>
      <patternFill patternType="gray125"/>
    </fill>
    <fill>
      <patternFill patternType="solid">
        <fgColor theme="3"/>
        <bgColor rgb="FF1F4E79"/>
      </patternFill>
    </fill>
    <fill>
      <patternFill patternType="solid">
        <fgColor rgb="FFD9D9D9"/>
        <bgColor rgb="FFDDEBF7"/>
      </patternFill>
    </fill>
    <fill>
      <patternFill patternType="solid">
        <fgColor theme="3" tint="0.79989013336588644"/>
        <bgColor rgb="FFDDEBF7"/>
      </patternFill>
    </fill>
    <fill>
      <patternFill patternType="solid">
        <fgColor rgb="FFDDEBF7"/>
        <bgColor rgb="FFE8F0FE"/>
      </patternFill>
    </fill>
    <fill>
      <patternFill patternType="solid">
        <fgColor rgb="FFEBF1FA"/>
        <bgColor rgb="FFE8F0FE"/>
      </patternFill>
    </fill>
    <fill>
      <patternFill patternType="solid">
        <fgColor rgb="FFE8F0FE"/>
        <bgColor rgb="FFEBF1FA"/>
      </patternFill>
    </fill>
    <fill>
      <patternFill patternType="solid">
        <fgColor rgb="FFE2EFDA"/>
        <bgColor rgb="FFDDEBF7"/>
      </patternFill>
    </fill>
    <fill>
      <patternFill patternType="solid">
        <fgColor theme="0"/>
        <bgColor rgb="FFDDEBF7"/>
      </patternFill>
    </fill>
    <fill>
      <patternFill patternType="solid">
        <fgColor theme="0"/>
        <bgColor rgb="FF1F4E79"/>
      </patternFill>
    </fill>
    <fill>
      <patternFill patternType="solid">
        <fgColor rgb="FF002060"/>
        <bgColor rgb="FF1F4E79"/>
      </patternFill>
    </fill>
    <fill>
      <patternFill patternType="solid">
        <fgColor theme="0"/>
        <bgColor indexed="64"/>
      </patternFill>
    </fill>
    <fill>
      <patternFill patternType="solid">
        <fgColor rgb="FF002060"/>
        <bgColor indexed="64"/>
      </patternFill>
    </fill>
  </fills>
  <borders count="4">
    <border>
      <left/>
      <right/>
      <top/>
      <bottom/>
      <diagonal/>
    </border>
    <border>
      <left/>
      <right/>
      <top style="medium">
        <color rgb="FF1F4E79"/>
      </top>
      <bottom/>
      <diagonal/>
    </border>
    <border>
      <left/>
      <right/>
      <top style="double">
        <color auto="1"/>
      </top>
      <bottom/>
      <diagonal/>
    </border>
    <border>
      <left/>
      <right/>
      <top style="thin">
        <color auto="1"/>
      </top>
      <bottom/>
      <diagonal/>
    </border>
  </borders>
  <cellStyleXfs count="2">
    <xf numFmtId="0" fontId="0" fillId="0" borderId="0"/>
    <xf numFmtId="9" fontId="26" fillId="0" borderId="0" applyFont="0" applyFill="0" applyBorder="0" applyAlignment="0" applyProtection="0"/>
  </cellStyleXfs>
  <cellXfs count="93">
    <xf numFmtId="0" fontId="0" fillId="0" borderId="0" xfId="0"/>
    <xf numFmtId="0" fontId="6" fillId="0" borderId="0" xfId="0" applyFont="1"/>
    <xf numFmtId="0" fontId="7" fillId="3" borderId="0" xfId="0" applyFont="1" applyFill="1"/>
    <xf numFmtId="0" fontId="8" fillId="3" borderId="0" xfId="0" applyFont="1" applyFill="1"/>
    <xf numFmtId="0" fontId="9" fillId="0" borderId="0" xfId="0" applyFont="1"/>
    <xf numFmtId="0" fontId="10" fillId="0" borderId="0" xfId="0" applyFont="1"/>
    <xf numFmtId="0" fontId="7" fillId="4" borderId="0" xfId="0" applyFont="1" applyFill="1" applyAlignment="1">
      <alignment horizontal="left" vertical="center"/>
    </xf>
    <xf numFmtId="0" fontId="11" fillId="4" borderId="0" xfId="0" applyFont="1" applyFill="1"/>
    <xf numFmtId="0" fontId="13" fillId="0" borderId="0" xfId="0" applyFont="1" applyAlignment="1">
      <alignment horizontal="left" vertical="center"/>
    </xf>
    <xf numFmtId="0" fontId="14" fillId="0" borderId="0" xfId="0" applyFont="1"/>
    <xf numFmtId="0" fontId="15" fillId="2" borderId="0" xfId="0" applyFont="1" applyFill="1"/>
    <xf numFmtId="0" fontId="6" fillId="2" borderId="0" xfId="0" applyFont="1" applyFill="1"/>
    <xf numFmtId="0" fontId="19" fillId="2" borderId="0" xfId="0" applyFont="1" applyFill="1"/>
    <xf numFmtId="0" fontId="19" fillId="2" borderId="0" xfId="0" applyFont="1" applyFill="1" applyAlignment="1">
      <alignment horizontal="right"/>
    </xf>
    <xf numFmtId="0" fontId="20" fillId="0" borderId="0" xfId="0" applyFont="1" applyAlignment="1">
      <alignment horizontal="left"/>
    </xf>
    <xf numFmtId="166" fontId="21" fillId="0" borderId="0" xfId="0" applyNumberFormat="1" applyFont="1" applyAlignment="1">
      <alignment horizontal="right"/>
    </xf>
    <xf numFmtId="0" fontId="8" fillId="0" borderId="0" xfId="0" applyFont="1" applyAlignment="1">
      <alignment horizontal="left" indent="1"/>
    </xf>
    <xf numFmtId="165" fontId="0" fillId="0" borderId="0" xfId="0" applyNumberFormat="1" applyAlignment="1">
      <alignment horizontal="right"/>
    </xf>
    <xf numFmtId="164" fontId="21" fillId="0" borderId="0" xfId="0" applyNumberFormat="1" applyFont="1" applyAlignment="1">
      <alignment horizontal="right"/>
    </xf>
    <xf numFmtId="167" fontId="0" fillId="0" borderId="0" xfId="0" applyNumberFormat="1" applyAlignment="1">
      <alignment horizontal="right"/>
    </xf>
    <xf numFmtId="0" fontId="18" fillId="0" borderId="0" xfId="0" applyFont="1"/>
    <xf numFmtId="164" fontId="6" fillId="0" borderId="0" xfId="0" applyNumberFormat="1" applyFont="1"/>
    <xf numFmtId="166" fontId="6" fillId="0" borderId="0" xfId="0" applyNumberFormat="1" applyFont="1"/>
    <xf numFmtId="164" fontId="22" fillId="6" borderId="0" xfId="0" applyNumberFormat="1" applyFont="1" applyFill="1" applyAlignment="1">
      <alignment horizontal="right"/>
    </xf>
    <xf numFmtId="10" fontId="22" fillId="6" borderId="0" xfId="0" applyNumberFormat="1" applyFont="1" applyFill="1" applyAlignment="1">
      <alignment horizontal="right"/>
    </xf>
    <xf numFmtId="168" fontId="22" fillId="6" borderId="0" xfId="0" applyNumberFormat="1" applyFont="1" applyFill="1" applyAlignment="1">
      <alignment horizontal="right"/>
    </xf>
    <xf numFmtId="167" fontId="22" fillId="6" borderId="0" xfId="0" applyNumberFormat="1" applyFont="1" applyFill="1" applyAlignment="1">
      <alignment horizontal="right"/>
    </xf>
    <xf numFmtId="164" fontId="0" fillId="0" borderId="0" xfId="0" applyNumberFormat="1" applyAlignment="1">
      <alignment horizontal="right"/>
    </xf>
    <xf numFmtId="0" fontId="15" fillId="2" borderId="0" xfId="0" applyFont="1" applyFill="1" applyAlignment="1">
      <alignment horizontal="right"/>
    </xf>
    <xf numFmtId="0" fontId="21" fillId="0" borderId="2" xfId="0" applyFont="1" applyBorder="1"/>
    <xf numFmtId="164" fontId="21" fillId="0" borderId="2" xfId="0" applyNumberFormat="1" applyFont="1" applyBorder="1" applyAlignment="1">
      <alignment horizontal="right"/>
    </xf>
    <xf numFmtId="0" fontId="21" fillId="0" borderId="0" xfId="0" applyFont="1"/>
    <xf numFmtId="164" fontId="23" fillId="0" borderId="0" xfId="0" applyNumberFormat="1" applyFont="1" applyAlignment="1">
      <alignment horizontal="right"/>
    </xf>
    <xf numFmtId="10" fontId="0" fillId="0" borderId="0" xfId="0" applyNumberFormat="1" applyAlignment="1">
      <alignment horizontal="right"/>
    </xf>
    <xf numFmtId="0" fontId="6" fillId="3" borderId="0" xfId="0" applyFont="1" applyFill="1"/>
    <xf numFmtId="0" fontId="0" fillId="0" borderId="0" xfId="0" applyAlignment="1">
      <alignment indent="1"/>
    </xf>
    <xf numFmtId="0" fontId="21" fillId="0" borderId="3" xfId="0" applyFont="1" applyBorder="1"/>
    <xf numFmtId="164" fontId="21" fillId="0" borderId="3" xfId="0" applyNumberFormat="1" applyFont="1" applyBorder="1" applyAlignment="1">
      <alignment horizontal="right"/>
    </xf>
    <xf numFmtId="164" fontId="10" fillId="0" borderId="0" xfId="0" applyNumberFormat="1" applyFont="1" applyAlignment="1">
      <alignment horizontal="right"/>
    </xf>
    <xf numFmtId="166" fontId="0" fillId="0" borderId="0" xfId="0" applyNumberFormat="1" applyAlignment="1">
      <alignment horizontal="right"/>
    </xf>
    <xf numFmtId="166" fontId="21" fillId="0" borderId="3" xfId="0" applyNumberFormat="1" applyFont="1" applyBorder="1" applyAlignment="1">
      <alignment horizontal="right"/>
    </xf>
    <xf numFmtId="10" fontId="21" fillId="0" borderId="0" xfId="0" applyNumberFormat="1" applyFont="1" applyAlignment="1">
      <alignment horizontal="right"/>
    </xf>
    <xf numFmtId="164" fontId="23" fillId="0" borderId="3" xfId="0" applyNumberFormat="1" applyFont="1" applyBorder="1" applyAlignment="1">
      <alignment horizontal="right"/>
    </xf>
    <xf numFmtId="0" fontId="10" fillId="0" borderId="0" xfId="0" applyFont="1" applyAlignment="1">
      <alignment indent="1"/>
    </xf>
    <xf numFmtId="166" fontId="23" fillId="0" borderId="3" xfId="0" applyNumberFormat="1" applyFont="1" applyBorder="1" applyAlignment="1">
      <alignment horizontal="right"/>
    </xf>
    <xf numFmtId="167" fontId="21" fillId="0" borderId="0" xfId="0" applyNumberFormat="1" applyFont="1" applyAlignment="1">
      <alignment horizontal="right"/>
    </xf>
    <xf numFmtId="0" fontId="10" fillId="0" borderId="0" xfId="0" applyFont="1" applyAlignment="1">
      <alignment horizontal="center"/>
    </xf>
    <xf numFmtId="164" fontId="0" fillId="0" borderId="0" xfId="0" applyNumberFormat="1" applyAlignment="1">
      <alignment horizontal="center"/>
    </xf>
    <xf numFmtId="10" fontId="0" fillId="0" borderId="0" xfId="0" applyNumberFormat="1" applyAlignment="1">
      <alignment horizontal="center"/>
    </xf>
    <xf numFmtId="10" fontId="24" fillId="7" borderId="0" xfId="0" applyNumberFormat="1" applyFont="1" applyFill="1" applyAlignment="1">
      <alignment horizontal="right"/>
    </xf>
    <xf numFmtId="10" fontId="21" fillId="3" borderId="0" xfId="0" applyNumberFormat="1" applyFont="1" applyFill="1" applyAlignment="1">
      <alignment horizontal="right"/>
    </xf>
    <xf numFmtId="10" fontId="0" fillId="8" borderId="0" xfId="0" applyNumberFormat="1" applyFill="1" applyAlignment="1">
      <alignment horizontal="center"/>
    </xf>
    <xf numFmtId="10" fontId="15" fillId="2" borderId="0" xfId="0" applyNumberFormat="1" applyFont="1" applyFill="1" applyAlignment="1">
      <alignment horizontal="right"/>
    </xf>
    <xf numFmtId="0" fontId="15" fillId="2" borderId="0" xfId="0" applyFont="1" applyFill="1" applyAlignment="1">
      <alignment horizontal="center"/>
    </xf>
    <xf numFmtId="0" fontId="21" fillId="0" borderId="0" xfId="0" applyFont="1" applyAlignment="1">
      <alignment horizontal="center"/>
    </xf>
    <xf numFmtId="0" fontId="20" fillId="0" borderId="0" xfId="0" applyFont="1" applyAlignment="1">
      <alignment horizontal="center"/>
    </xf>
    <xf numFmtId="0" fontId="23" fillId="0" borderId="0" xfId="0" applyFont="1" applyAlignment="1">
      <alignment horizontal="center"/>
    </xf>
    <xf numFmtId="0" fontId="25" fillId="0" borderId="0" xfId="0" applyFont="1"/>
    <xf numFmtId="0" fontId="0" fillId="0" borderId="0" xfId="0" applyAlignment="1">
      <alignment horizontal="left" indent="1"/>
    </xf>
    <xf numFmtId="2" fontId="6" fillId="0" borderId="0" xfId="0" applyNumberFormat="1" applyFont="1"/>
    <xf numFmtId="2" fontId="0" fillId="0" borderId="0" xfId="0" applyNumberFormat="1"/>
    <xf numFmtId="171" fontId="21" fillId="0" borderId="0" xfId="0" applyNumberFormat="1" applyFont="1" applyAlignment="1">
      <alignment horizontal="right"/>
    </xf>
    <xf numFmtId="2" fontId="22" fillId="6" borderId="0" xfId="0" applyNumberFormat="1" applyFont="1" applyFill="1" applyAlignment="1">
      <alignment horizontal="right"/>
    </xf>
    <xf numFmtId="0" fontId="27" fillId="0" borderId="0" xfId="0" applyFont="1"/>
    <xf numFmtId="0" fontId="0" fillId="0" borderId="0" xfId="0" applyAlignment="1">
      <alignment vertical="top" wrapText="1"/>
    </xf>
    <xf numFmtId="0" fontId="12" fillId="0" borderId="0" xfId="0" applyFont="1" applyAlignment="1">
      <alignment horizontal="left" vertical="top" wrapText="1"/>
    </xf>
    <xf numFmtId="0" fontId="10" fillId="0" borderId="0" xfId="0" applyFont="1" applyAlignment="1">
      <alignment horizontal="left" vertical="center"/>
    </xf>
    <xf numFmtId="0" fontId="18" fillId="5" borderId="0" xfId="0" applyFont="1" applyFill="1" applyAlignment="1">
      <alignment horizontal="left" vertical="top" indent="1"/>
    </xf>
    <xf numFmtId="166" fontId="17" fillId="5" borderId="0" xfId="0" applyNumberFormat="1" applyFont="1" applyFill="1" applyAlignment="1">
      <alignment horizontal="left" vertical="center" indent="1"/>
    </xf>
    <xf numFmtId="165" fontId="17" fillId="5" borderId="0" xfId="0" applyNumberFormat="1" applyFont="1" applyFill="1" applyAlignment="1">
      <alignment horizontal="left" vertical="center" indent="1"/>
    </xf>
    <xf numFmtId="167" fontId="17" fillId="5" borderId="0" xfId="0" applyNumberFormat="1" applyFont="1" applyFill="1" applyAlignment="1">
      <alignment horizontal="left" vertical="center" indent="1"/>
    </xf>
    <xf numFmtId="0" fontId="16" fillId="5" borderId="1" xfId="0" applyFont="1" applyFill="1" applyBorder="1" applyAlignment="1">
      <alignment horizontal="left" vertical="center" indent="1"/>
    </xf>
    <xf numFmtId="164" fontId="17" fillId="5" borderId="0" xfId="0" applyNumberFormat="1" applyFont="1" applyFill="1" applyAlignment="1">
      <alignment horizontal="left" vertical="center" indent="1"/>
    </xf>
    <xf numFmtId="9" fontId="22" fillId="6" borderId="0" xfId="1" applyFont="1" applyFill="1" applyAlignment="1">
      <alignment horizontal="right"/>
    </xf>
    <xf numFmtId="10" fontId="15" fillId="2" borderId="0" xfId="1" applyNumberFormat="1" applyFont="1" applyFill="1" applyAlignment="1">
      <alignment horizontal="right"/>
    </xf>
    <xf numFmtId="10" fontId="15" fillId="2" borderId="0" xfId="0" applyNumberFormat="1" applyFont="1" applyFill="1"/>
    <xf numFmtId="185" fontId="15" fillId="2" borderId="0" xfId="0" applyNumberFormat="1" applyFont="1" applyFill="1" applyAlignment="1">
      <alignment horizontal="right"/>
    </xf>
    <xf numFmtId="10" fontId="0" fillId="0" borderId="0" xfId="1" applyNumberFormat="1" applyFont="1" applyAlignment="1">
      <alignment horizontal="center"/>
    </xf>
    <xf numFmtId="10" fontId="0" fillId="8" borderId="0" xfId="1" applyNumberFormat="1" applyFont="1" applyFill="1" applyAlignment="1">
      <alignment horizontal="center"/>
    </xf>
    <xf numFmtId="164" fontId="6" fillId="6" borderId="0" xfId="0" applyNumberFormat="1" applyFont="1" applyFill="1" applyAlignment="1">
      <alignment horizontal="right"/>
    </xf>
    <xf numFmtId="10" fontId="6" fillId="6" borderId="0" xfId="0" applyNumberFormat="1" applyFont="1" applyFill="1" applyAlignment="1">
      <alignment horizontal="right"/>
    </xf>
    <xf numFmtId="189" fontId="21" fillId="3" borderId="0" xfId="1" applyNumberFormat="1" applyFont="1" applyFill="1" applyAlignment="1">
      <alignment horizontal="right"/>
    </xf>
    <xf numFmtId="10" fontId="0" fillId="9" borderId="0" xfId="1" applyNumberFormat="1" applyFont="1" applyFill="1" applyAlignment="1">
      <alignment horizontal="center"/>
    </xf>
    <xf numFmtId="190" fontId="0" fillId="0" borderId="0" xfId="0" applyNumberFormat="1" applyAlignment="1">
      <alignment horizontal="right"/>
    </xf>
    <xf numFmtId="2" fontId="0" fillId="0" borderId="0" xfId="0" applyNumberFormat="1" applyAlignment="1">
      <alignment horizontal="right"/>
    </xf>
    <xf numFmtId="0" fontId="2" fillId="10" borderId="0" xfId="0" applyFont="1" applyFill="1"/>
    <xf numFmtId="0" fontId="1" fillId="11" borderId="0" xfId="0" applyFont="1" applyFill="1"/>
    <xf numFmtId="0" fontId="2" fillId="11" borderId="0" xfId="0" applyFont="1" applyFill="1"/>
    <xf numFmtId="0" fontId="3" fillId="11" borderId="0" xfId="0" applyFont="1" applyFill="1"/>
    <xf numFmtId="0" fontId="4" fillId="11" borderId="0" xfId="0" applyFont="1" applyFill="1" applyAlignment="1">
      <alignment horizontal="left" vertical="center"/>
    </xf>
    <xf numFmtId="0" fontId="5" fillId="11" borderId="0" xfId="0" applyFont="1" applyFill="1"/>
    <xf numFmtId="0" fontId="0" fillId="12" borderId="0" xfId="0" applyFill="1"/>
    <xf numFmtId="0" fontId="0" fillId="13" borderId="0" xfId="0" applyFill="1"/>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78787"/>
      <rgbColor rgb="FF5B9BD5"/>
      <rgbColor rgb="FF993366"/>
      <rgbColor rgb="FFEBF1FA"/>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8F0FE"/>
      <rgbColor rgb="FFE2EFDA"/>
      <rgbColor rgb="FFFFFF99"/>
      <rgbColor rgb="FFBAE8F4"/>
      <rgbColor rgb="FFFF99CC"/>
      <rgbColor rgb="FFCC99FF"/>
      <rgbColor rgb="FFFFCC99"/>
      <rgbColor rgb="FF3366FF"/>
      <rgbColor rgb="FF49DFCE"/>
      <rgbColor rgb="FF70AD47"/>
      <rgbColor rgb="FFFFCC00"/>
      <rgbColor rgb="FFFF9900"/>
      <rgbColor rgb="FFFF6600"/>
      <rgbColor rgb="FF595959"/>
      <rgbColor rgb="FFA5A5A5"/>
      <rgbColor rgb="FF0F4C5C"/>
      <rgbColor rgb="FF1B998B"/>
      <rgbColor rgb="FF003300"/>
      <rgbColor rgb="FF404040"/>
      <rgbColor rgb="FF993300"/>
      <rgbColor rgb="FF993366"/>
      <rgbColor rgb="FF1F4E79"/>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300" b="1" strike="noStrike" spc="-1">
                <a:solidFill>
                  <a:srgbClr val="1B998B"/>
                </a:solidFill>
                <a:latin typeface="Arial"/>
              </a:defRPr>
            </a:pPr>
            <a:r>
              <a:rPr lang="en-IN" sz="1300" b="1" strike="noStrike" spc="-1">
                <a:solidFill>
                  <a:srgbClr val="1B998B"/>
                </a:solidFill>
                <a:latin typeface="Arial"/>
              </a:rPr>
              <a:t>Consideration Mix ($M)</a:t>
            </a:r>
          </a:p>
        </c:rich>
      </c:tx>
      <c:overlay val="0"/>
      <c:spPr>
        <a:noFill/>
        <a:ln w="0">
          <a:noFill/>
        </a:ln>
      </c:spPr>
    </c:title>
    <c:autoTitleDeleted val="0"/>
    <c:plotArea>
      <c:layout/>
      <c:barChart>
        <c:barDir val="bar"/>
        <c:grouping val="clustered"/>
        <c:varyColors val="0"/>
        <c:ser>
          <c:idx val="0"/>
          <c:order val="0"/>
          <c:spPr>
            <a:solidFill>
              <a:srgbClr val="1B998B"/>
            </a:solidFill>
            <a:ln w="12600">
              <a:noFill/>
            </a:ln>
          </c:spPr>
          <c:invertIfNegative val="0"/>
          <c:dPt>
            <c:idx val="0"/>
            <c:invertIfNegative val="0"/>
            <c:bubble3D val="0"/>
            <c:spPr>
              <a:solidFill>
                <a:srgbClr val="1B998B"/>
              </a:solidFill>
              <a:ln w="0">
                <a:noFill/>
              </a:ln>
            </c:spPr>
            <c:extLst>
              <c:ext xmlns:c16="http://schemas.microsoft.com/office/drawing/2014/chart" uri="{C3380CC4-5D6E-409C-BE32-E72D297353CC}">
                <c16:uniqueId val="{00000001-94F3-41D2-8CC6-7C4D0E4EA0F2}"/>
              </c:ext>
            </c:extLst>
          </c:dPt>
          <c:dPt>
            <c:idx val="1"/>
            <c:invertIfNegative val="0"/>
            <c:bubble3D val="0"/>
            <c:spPr>
              <a:solidFill>
                <a:srgbClr val="49DFCE"/>
              </a:solidFill>
              <a:ln w="0">
                <a:noFill/>
              </a:ln>
            </c:spPr>
            <c:extLst>
              <c:ext xmlns:c16="http://schemas.microsoft.com/office/drawing/2014/chart" uri="{C3380CC4-5D6E-409C-BE32-E72D297353CC}">
                <c16:uniqueId val="{00000003-94F3-41D2-8CC6-7C4D0E4EA0F2}"/>
              </c:ext>
            </c:extLst>
          </c:dPt>
          <c:dLbls>
            <c:dLbl>
              <c:idx val="0"/>
              <c:spPr/>
              <c:txPr>
                <a:bodyPr wrap="square"/>
                <a:lstStyle/>
                <a:p>
                  <a:pPr>
                    <a:defRPr sz="900" b="0" strike="noStrike" spc="-1">
                      <a:solidFill>
                        <a:srgbClr val="404040"/>
                      </a:solidFill>
                      <a:latin typeface="Arial"/>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94F3-41D2-8CC6-7C4D0E4EA0F2}"/>
                </c:ext>
              </c:extLst>
            </c:dLbl>
            <c:dLbl>
              <c:idx val="1"/>
              <c:spPr/>
              <c:txPr>
                <a:bodyPr wrap="square"/>
                <a:lstStyle/>
                <a:p>
                  <a:pPr>
                    <a:defRPr sz="900" b="0" strike="noStrike" spc="-1">
                      <a:solidFill>
                        <a:srgbClr val="404040"/>
                      </a:solidFill>
                      <a:latin typeface="Arial"/>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94F3-41D2-8CC6-7C4D0E4EA0F2}"/>
                </c:ext>
              </c:extLst>
            </c:dLbl>
            <c:spPr>
              <a:noFill/>
              <a:ln>
                <a:noFill/>
              </a:ln>
              <a:effectLst/>
            </c:spPr>
            <c:txPr>
              <a:bodyPr wrap="square"/>
              <a:lstStyle/>
              <a:p>
                <a:pPr>
                  <a:defRPr sz="900" b="0" strike="noStrike" spc="-1">
                    <a:solidFill>
                      <a:srgbClr val="404040"/>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Dashboard!$B$81:$B$82</c:f>
              <c:strCache>
                <c:ptCount val="2"/>
                <c:pt idx="0">
                  <c:v>Cash Consideration</c:v>
                </c:pt>
                <c:pt idx="1">
                  <c:v>Stock Consideration</c:v>
                </c:pt>
              </c:strCache>
            </c:strRef>
          </c:cat>
          <c:val>
            <c:numRef>
              <c:f>Dashboard!$C$81:$C$82</c:f>
              <c:numCache>
                <c:formatCode>#,##0;\(#,##0\);\-</c:formatCode>
                <c:ptCount val="2"/>
                <c:pt idx="0">
                  <c:v>1350</c:v>
                </c:pt>
                <c:pt idx="1">
                  <c:v>900</c:v>
                </c:pt>
              </c:numCache>
            </c:numRef>
          </c:val>
          <c:extLst>
            <c:ext xmlns:c16="http://schemas.microsoft.com/office/drawing/2014/chart" uri="{C3380CC4-5D6E-409C-BE32-E72D297353CC}">
              <c16:uniqueId val="{00000004-94F3-41D2-8CC6-7C4D0E4EA0F2}"/>
            </c:ext>
          </c:extLst>
        </c:ser>
        <c:dLbls>
          <c:showLegendKey val="0"/>
          <c:showVal val="0"/>
          <c:showCatName val="0"/>
          <c:showSerName val="0"/>
          <c:showPercent val="0"/>
          <c:showBubbleSize val="0"/>
        </c:dLbls>
        <c:gapWidth val="60"/>
        <c:axId val="81557387"/>
        <c:axId val="91973312"/>
      </c:barChart>
      <c:catAx>
        <c:axId val="81557387"/>
        <c:scaling>
          <c:orientation val="minMax"/>
        </c:scaling>
        <c:delete val="0"/>
        <c:axPos val="l"/>
        <c:numFmt formatCode="General" sourceLinked="0"/>
        <c:majorTickMark val="out"/>
        <c:minorTickMark val="none"/>
        <c:tickLblPos val="nextTo"/>
        <c:spPr>
          <a:ln w="9360">
            <a:solidFill>
              <a:srgbClr val="878787"/>
            </a:solidFill>
            <a:round/>
          </a:ln>
        </c:spPr>
        <c:txPr>
          <a:bodyPr/>
          <a:lstStyle/>
          <a:p>
            <a:pPr>
              <a:defRPr sz="1000" b="0" strike="noStrike" spc="-1">
                <a:solidFill>
                  <a:srgbClr val="404040"/>
                </a:solidFill>
                <a:latin typeface="Arial"/>
              </a:defRPr>
            </a:pPr>
            <a:endParaRPr lang="en-US"/>
          </a:p>
        </c:txPr>
        <c:crossAx val="91973312"/>
        <c:crosses val="autoZero"/>
        <c:auto val="1"/>
        <c:lblAlgn val="ctr"/>
        <c:lblOffset val="100"/>
        <c:noMultiLvlLbl val="0"/>
      </c:catAx>
      <c:valAx>
        <c:axId val="91973312"/>
        <c:scaling>
          <c:orientation val="minMax"/>
        </c:scaling>
        <c:delete val="0"/>
        <c:axPos val="b"/>
        <c:numFmt formatCode="#,##0;\(#,##0\);\-" sourceLinked="0"/>
        <c:majorTickMark val="none"/>
        <c:minorTickMark val="none"/>
        <c:tickLblPos val="nextTo"/>
        <c:spPr>
          <a:ln w="9360">
            <a:solidFill>
              <a:srgbClr val="878787"/>
            </a:solidFill>
            <a:round/>
          </a:ln>
        </c:spPr>
        <c:txPr>
          <a:bodyPr/>
          <a:lstStyle/>
          <a:p>
            <a:pPr>
              <a:defRPr sz="1000" b="0" strike="noStrike" spc="-1">
                <a:solidFill>
                  <a:srgbClr val="404040"/>
                </a:solidFill>
                <a:latin typeface="Arial"/>
              </a:defRPr>
            </a:pPr>
            <a:endParaRPr lang="en-US"/>
          </a:p>
        </c:txPr>
        <c:crossAx val="81557387"/>
        <c:crosses val="autoZero"/>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300" b="1" strike="noStrike" spc="-1">
                <a:solidFill>
                  <a:srgbClr val="1B998B"/>
                </a:solidFill>
                <a:latin typeface="Arial"/>
              </a:defRPr>
            </a:pPr>
            <a:r>
              <a:rPr lang="en-IN" sz="1300" b="1" strike="noStrike" spc="-1">
                <a:solidFill>
                  <a:srgbClr val="1B998B"/>
                </a:solidFill>
                <a:latin typeface="Arial"/>
              </a:rPr>
              <a:t>EPS: Standalone vs Pro-Forma</a:t>
            </a:r>
          </a:p>
        </c:rich>
      </c:tx>
      <c:overlay val="0"/>
      <c:spPr>
        <a:noFill/>
        <a:ln w="0">
          <a:noFill/>
        </a:ln>
      </c:spPr>
    </c:title>
    <c:autoTitleDeleted val="0"/>
    <c:plotArea>
      <c:layout/>
      <c:barChart>
        <c:barDir val="col"/>
        <c:grouping val="clustered"/>
        <c:varyColors val="0"/>
        <c:ser>
          <c:idx val="0"/>
          <c:order val="0"/>
          <c:tx>
            <c:strRef>
              <c:f>Dashboard!$B$17</c:f>
              <c:strCache>
                <c:ptCount val="1"/>
                <c:pt idx="0">
                  <c:v>Standalone EPS</c:v>
                </c:pt>
              </c:strCache>
            </c:strRef>
          </c:tx>
          <c:spPr>
            <a:solidFill>
              <a:srgbClr val="404040"/>
            </a:solidFill>
            <a:ln w="12600">
              <a:noFill/>
            </a:ln>
          </c:spPr>
          <c:invertIfNegative val="0"/>
          <c:dLbls>
            <c:spPr>
              <a:noFill/>
              <a:ln>
                <a:noFill/>
              </a:ln>
              <a:effectLst/>
            </c:spPr>
            <c:txPr>
              <a:bodyPr wrap="square"/>
              <a:lstStyle/>
              <a:p>
                <a:pPr>
                  <a:defRPr sz="900" b="0" strike="noStrike" spc="-1">
                    <a:solidFill>
                      <a:srgbClr val="404040"/>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Dashboard!$C$16:$G$16</c:f>
              <c:strCache>
                <c:ptCount val="5"/>
                <c:pt idx="0">
                  <c:v>Year 1</c:v>
                </c:pt>
                <c:pt idx="1">
                  <c:v>Year 2</c:v>
                </c:pt>
                <c:pt idx="2">
                  <c:v>Year 3</c:v>
                </c:pt>
                <c:pt idx="3">
                  <c:v>Year 4</c:v>
                </c:pt>
                <c:pt idx="4">
                  <c:v>Year 5</c:v>
                </c:pt>
              </c:strCache>
            </c:strRef>
          </c:cat>
          <c:val>
            <c:numRef>
              <c:f>Dashboard!$C$17:$G$17</c:f>
              <c:numCache>
                <c:formatCode>\$#,##0.00</c:formatCode>
                <c:ptCount val="5"/>
                <c:pt idx="0">
                  <c:v>22.597727272727273</c:v>
                </c:pt>
                <c:pt idx="1">
                  <c:v>23.773068181818179</c:v>
                </c:pt>
                <c:pt idx="2">
                  <c:v>25.004903409090911</c:v>
                </c:pt>
                <c:pt idx="3">
                  <c:v>26.296171306818184</c:v>
                </c:pt>
                <c:pt idx="4">
                  <c:v>27.649951463068184</c:v>
                </c:pt>
              </c:numCache>
            </c:numRef>
          </c:val>
          <c:extLst>
            <c:ext xmlns:c16="http://schemas.microsoft.com/office/drawing/2014/chart" uri="{C3380CC4-5D6E-409C-BE32-E72D297353CC}">
              <c16:uniqueId val="{00000000-F681-49F1-8045-B15941B326B9}"/>
            </c:ext>
          </c:extLst>
        </c:ser>
        <c:ser>
          <c:idx val="1"/>
          <c:order val="1"/>
          <c:tx>
            <c:strRef>
              <c:f>Dashboard!$B$18</c:f>
              <c:strCache>
                <c:ptCount val="1"/>
                <c:pt idx="0">
                  <c:v>Pro Forma EPS</c:v>
                </c:pt>
              </c:strCache>
            </c:strRef>
          </c:tx>
          <c:spPr>
            <a:solidFill>
              <a:srgbClr val="1B998B"/>
            </a:solidFill>
            <a:ln w="12600">
              <a:noFill/>
            </a:ln>
          </c:spPr>
          <c:invertIfNegative val="0"/>
          <c:dLbls>
            <c:spPr>
              <a:noFill/>
              <a:ln>
                <a:noFill/>
              </a:ln>
              <a:effectLst/>
            </c:spPr>
            <c:txPr>
              <a:bodyPr wrap="square"/>
              <a:lstStyle/>
              <a:p>
                <a:pPr>
                  <a:defRPr sz="900" b="0" strike="noStrike" spc="-1">
                    <a:solidFill>
                      <a:srgbClr val="404040"/>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Dashboard!$C$16:$G$16</c:f>
              <c:strCache>
                <c:ptCount val="5"/>
                <c:pt idx="0">
                  <c:v>Year 1</c:v>
                </c:pt>
                <c:pt idx="1">
                  <c:v>Year 2</c:v>
                </c:pt>
                <c:pt idx="2">
                  <c:v>Year 3</c:v>
                </c:pt>
                <c:pt idx="3">
                  <c:v>Year 4</c:v>
                </c:pt>
                <c:pt idx="4">
                  <c:v>Year 5</c:v>
                </c:pt>
              </c:strCache>
            </c:strRef>
          </c:cat>
          <c:val>
            <c:numRef>
              <c:f>Dashboard!$C$18:$G$18</c:f>
              <c:numCache>
                <c:formatCode>\$#,##0.00</c:formatCode>
                <c:ptCount val="5"/>
                <c:pt idx="0">
                  <c:v>22.198355744406189</c:v>
                </c:pt>
                <c:pt idx="1">
                  <c:v>23.678070051635114</c:v>
                </c:pt>
                <c:pt idx="2">
                  <c:v>25.241309093803796</c:v>
                </c:pt>
                <c:pt idx="3">
                  <c:v>26.644302684797754</c:v>
                </c:pt>
                <c:pt idx="4">
                  <c:v>28.003138542626981</c:v>
                </c:pt>
              </c:numCache>
            </c:numRef>
          </c:val>
          <c:extLst>
            <c:ext xmlns:c16="http://schemas.microsoft.com/office/drawing/2014/chart" uri="{C3380CC4-5D6E-409C-BE32-E72D297353CC}">
              <c16:uniqueId val="{00000001-F681-49F1-8045-B15941B326B9}"/>
            </c:ext>
          </c:extLst>
        </c:ser>
        <c:dLbls>
          <c:showLegendKey val="0"/>
          <c:showVal val="0"/>
          <c:showCatName val="0"/>
          <c:showSerName val="0"/>
          <c:showPercent val="0"/>
          <c:showBubbleSize val="0"/>
        </c:dLbls>
        <c:gapWidth val="60"/>
        <c:axId val="12180545"/>
        <c:axId val="22658701"/>
      </c:barChart>
      <c:catAx>
        <c:axId val="12180545"/>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sz="1000" b="0" strike="noStrike" spc="-1">
                <a:solidFill>
                  <a:srgbClr val="404040"/>
                </a:solidFill>
                <a:latin typeface="Arial"/>
              </a:defRPr>
            </a:pPr>
            <a:endParaRPr lang="en-US"/>
          </a:p>
        </c:txPr>
        <c:crossAx val="22658701"/>
        <c:crosses val="autoZero"/>
        <c:auto val="1"/>
        <c:lblAlgn val="ctr"/>
        <c:lblOffset val="100"/>
        <c:noMultiLvlLbl val="0"/>
      </c:catAx>
      <c:valAx>
        <c:axId val="22658701"/>
        <c:scaling>
          <c:orientation val="minMax"/>
        </c:scaling>
        <c:delete val="0"/>
        <c:axPos val="l"/>
        <c:numFmt formatCode="\$#,##0.00" sourceLinked="0"/>
        <c:majorTickMark val="none"/>
        <c:minorTickMark val="none"/>
        <c:tickLblPos val="nextTo"/>
        <c:spPr>
          <a:ln w="9360">
            <a:solidFill>
              <a:srgbClr val="878787"/>
            </a:solidFill>
            <a:round/>
          </a:ln>
        </c:spPr>
        <c:txPr>
          <a:bodyPr/>
          <a:lstStyle/>
          <a:p>
            <a:pPr>
              <a:defRPr sz="1000" b="0" strike="noStrike" spc="-1">
                <a:solidFill>
                  <a:srgbClr val="404040"/>
                </a:solidFill>
                <a:latin typeface="Arial"/>
              </a:defRPr>
            </a:pPr>
            <a:endParaRPr lang="en-US"/>
          </a:p>
        </c:txPr>
        <c:crossAx val="12180545"/>
        <c:crosses val="autoZero"/>
        <c:crossBetween val="between"/>
      </c:valAx>
      <c:spPr>
        <a:noFill/>
        <a:ln w="0">
          <a:noFill/>
        </a:ln>
      </c:spPr>
    </c:plotArea>
    <c:legend>
      <c:legendPos val="b"/>
      <c:overlay val="0"/>
      <c:spPr>
        <a:noFill/>
        <a:ln w="0">
          <a:noFill/>
        </a:ln>
      </c:spPr>
      <c:txPr>
        <a:bodyPr/>
        <a:lstStyle/>
        <a:p>
          <a:pPr>
            <a:defRPr sz="1000" b="0" strike="noStrike" spc="-1">
              <a:solidFill>
                <a:srgbClr val="404040"/>
              </a:solidFill>
              <a:latin typeface="Arial"/>
            </a:defRPr>
          </a:pPr>
          <a:endParaRPr lang="en-US"/>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300" b="1" strike="noStrike" spc="-1">
                <a:solidFill>
                  <a:srgbClr val="1B998B"/>
                </a:solidFill>
                <a:latin typeface="Arial"/>
              </a:defRPr>
            </a:pPr>
            <a:r>
              <a:rPr lang="en-IN" sz="1300" b="1" strike="noStrike" spc="-1">
                <a:solidFill>
                  <a:srgbClr val="1B998B"/>
                </a:solidFill>
                <a:latin typeface="Arial"/>
              </a:rPr>
              <a:t>Accretion / (Dilution) % by Year</a:t>
            </a:r>
          </a:p>
        </c:rich>
      </c:tx>
      <c:overlay val="0"/>
      <c:spPr>
        <a:noFill/>
        <a:ln w="0">
          <a:noFill/>
        </a:ln>
      </c:spPr>
    </c:title>
    <c:autoTitleDeleted val="0"/>
    <c:plotArea>
      <c:layout/>
      <c:barChart>
        <c:barDir val="col"/>
        <c:grouping val="clustered"/>
        <c:varyColors val="0"/>
        <c:ser>
          <c:idx val="0"/>
          <c:order val="0"/>
          <c:spPr>
            <a:solidFill>
              <a:srgbClr val="1B998B"/>
            </a:solidFill>
            <a:ln w="12600">
              <a:noFill/>
            </a:ln>
          </c:spPr>
          <c:invertIfNegative val="0"/>
          <c:dLbls>
            <c:spPr>
              <a:noFill/>
              <a:ln>
                <a:noFill/>
              </a:ln>
              <a:effectLst/>
            </c:spPr>
            <c:txPr>
              <a:bodyPr wrap="square"/>
              <a:lstStyle/>
              <a:p>
                <a:pPr>
                  <a:defRPr sz="900" b="0" strike="noStrike" spc="-1">
                    <a:solidFill>
                      <a:srgbClr val="404040"/>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Dashboard!$C$16:$G$16</c:f>
              <c:strCache>
                <c:ptCount val="5"/>
                <c:pt idx="0">
                  <c:v>Year 1</c:v>
                </c:pt>
                <c:pt idx="1">
                  <c:v>Year 2</c:v>
                </c:pt>
                <c:pt idx="2">
                  <c:v>Year 3</c:v>
                </c:pt>
                <c:pt idx="3">
                  <c:v>Year 4</c:v>
                </c:pt>
                <c:pt idx="4">
                  <c:v>Year 5</c:v>
                </c:pt>
              </c:strCache>
            </c:strRef>
          </c:cat>
          <c:val>
            <c:numRef>
              <c:f>Dashboard!$C$19:$G$19</c:f>
              <c:numCache>
                <c:formatCode>0.0%;\(0.0%\);\-</c:formatCode>
                <c:ptCount val="5"/>
                <c:pt idx="0">
                  <c:v>-1.7673083823924029E-2</c:v>
                </c:pt>
                <c:pt idx="1">
                  <c:v>-3.9960399497663487E-3</c:v>
                </c:pt>
                <c:pt idx="2">
                  <c:v>9.4543730421664477E-3</c:v>
                </c:pt>
                <c:pt idx="3">
                  <c:v>1.3238861806825271E-2</c:v>
                </c:pt>
                <c:pt idx="4">
                  <c:v>1.2773515354287191E-2</c:v>
                </c:pt>
              </c:numCache>
            </c:numRef>
          </c:val>
          <c:extLst>
            <c:ext xmlns:c16="http://schemas.microsoft.com/office/drawing/2014/chart" uri="{C3380CC4-5D6E-409C-BE32-E72D297353CC}">
              <c16:uniqueId val="{00000000-B1E9-4D0E-B012-0507FB6A32AA}"/>
            </c:ext>
          </c:extLst>
        </c:ser>
        <c:dLbls>
          <c:showLegendKey val="0"/>
          <c:showVal val="0"/>
          <c:showCatName val="0"/>
          <c:showSerName val="0"/>
          <c:showPercent val="0"/>
          <c:showBubbleSize val="0"/>
        </c:dLbls>
        <c:gapWidth val="60"/>
        <c:axId val="72905032"/>
        <c:axId val="56846087"/>
      </c:barChart>
      <c:catAx>
        <c:axId val="72905032"/>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sz="1000" b="0" strike="noStrike" spc="-1">
                <a:solidFill>
                  <a:srgbClr val="404040"/>
                </a:solidFill>
                <a:latin typeface="Arial"/>
              </a:defRPr>
            </a:pPr>
            <a:endParaRPr lang="en-US"/>
          </a:p>
        </c:txPr>
        <c:crossAx val="56846087"/>
        <c:crosses val="autoZero"/>
        <c:auto val="1"/>
        <c:lblAlgn val="ctr"/>
        <c:lblOffset val="100"/>
        <c:noMultiLvlLbl val="0"/>
      </c:catAx>
      <c:valAx>
        <c:axId val="56846087"/>
        <c:scaling>
          <c:orientation val="minMax"/>
        </c:scaling>
        <c:delete val="0"/>
        <c:axPos val="l"/>
        <c:numFmt formatCode="0.0%;\(0.0%\);\-" sourceLinked="0"/>
        <c:majorTickMark val="none"/>
        <c:minorTickMark val="none"/>
        <c:tickLblPos val="nextTo"/>
        <c:spPr>
          <a:ln w="9360">
            <a:solidFill>
              <a:srgbClr val="878787"/>
            </a:solidFill>
            <a:round/>
          </a:ln>
        </c:spPr>
        <c:txPr>
          <a:bodyPr/>
          <a:lstStyle/>
          <a:p>
            <a:pPr>
              <a:defRPr sz="1000" b="0" strike="noStrike" spc="-1">
                <a:solidFill>
                  <a:srgbClr val="404040"/>
                </a:solidFill>
                <a:latin typeface="Arial"/>
              </a:defRPr>
            </a:pPr>
            <a:endParaRPr lang="en-US"/>
          </a:p>
        </c:txPr>
        <c:crossAx val="72905032"/>
        <c:crosses val="autoZero"/>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300" b="1" strike="noStrike" spc="-1">
                <a:solidFill>
                  <a:srgbClr val="1B998B"/>
                </a:solidFill>
                <a:latin typeface="Arial"/>
              </a:defRPr>
            </a:pPr>
            <a:r>
              <a:rPr lang="en-IN" sz="1300" b="1" strike="noStrike" spc="-1">
                <a:solidFill>
                  <a:srgbClr val="1B998B"/>
                </a:solidFill>
                <a:latin typeface="Arial"/>
              </a:rPr>
              <a:t>Pro-Forma Leverage (Debt / EBITDA)</a:t>
            </a:r>
          </a:p>
        </c:rich>
      </c:tx>
      <c:overlay val="0"/>
      <c:spPr>
        <a:noFill/>
        <a:ln w="0">
          <a:noFill/>
        </a:ln>
      </c:spPr>
    </c:title>
    <c:autoTitleDeleted val="0"/>
    <c:plotArea>
      <c:layout/>
      <c:lineChart>
        <c:grouping val="standard"/>
        <c:varyColors val="0"/>
        <c:ser>
          <c:idx val="0"/>
          <c:order val="0"/>
          <c:spPr>
            <a:ln w="28080">
              <a:solidFill>
                <a:srgbClr val="1B998B"/>
              </a:solidFill>
              <a:round/>
            </a:ln>
          </c:spPr>
          <c:marker>
            <c:symbol val="none"/>
          </c:marker>
          <c:dLbls>
            <c:spPr>
              <a:noFill/>
              <a:ln>
                <a:noFill/>
              </a:ln>
              <a:effectLst/>
            </c:spPr>
            <c:txPr>
              <a:bodyPr wrap="square"/>
              <a:lstStyle/>
              <a:p>
                <a:pPr>
                  <a:defRPr sz="900" b="0" strike="noStrike" spc="-1">
                    <a:solidFill>
                      <a:srgbClr val="404040"/>
                    </a:solidFill>
                    <a:latin typeface="Arial"/>
                  </a:defRPr>
                </a:pPr>
                <a:endParaRPr lang="en-US"/>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Dashboard!$C$16:$G$16</c:f>
              <c:strCache>
                <c:ptCount val="5"/>
                <c:pt idx="0">
                  <c:v>Year 1</c:v>
                </c:pt>
                <c:pt idx="1">
                  <c:v>Year 2</c:v>
                </c:pt>
                <c:pt idx="2">
                  <c:v>Year 3</c:v>
                </c:pt>
                <c:pt idx="3">
                  <c:v>Year 4</c:v>
                </c:pt>
                <c:pt idx="4">
                  <c:v>Year 5</c:v>
                </c:pt>
              </c:strCache>
            </c:strRef>
          </c:cat>
          <c:val>
            <c:numRef>
              <c:f>Dashboard!$C$21:$G$21</c:f>
              <c:numCache>
                <c:formatCode>0.00\x</c:formatCode>
                <c:ptCount val="5"/>
                <c:pt idx="0">
                  <c:v>0.38974998564079005</c:v>
                </c:pt>
                <c:pt idx="1">
                  <c:v>0.35161114361290879</c:v>
                </c:pt>
                <c:pt idx="2">
                  <c:v>0.3173415060772497</c:v>
                </c:pt>
                <c:pt idx="3">
                  <c:v>0.28652948975640902</c:v>
                </c:pt>
                <c:pt idx="4">
                  <c:v>0.25963232656860546</c:v>
                </c:pt>
              </c:numCache>
            </c:numRef>
          </c:val>
          <c:smooth val="0"/>
          <c:extLst>
            <c:ext xmlns:c16="http://schemas.microsoft.com/office/drawing/2014/chart" uri="{C3380CC4-5D6E-409C-BE32-E72D297353CC}">
              <c16:uniqueId val="{00000000-79A7-4D1A-A44A-D6E12162786A}"/>
            </c:ext>
          </c:extLst>
        </c:ser>
        <c:dLbls>
          <c:showLegendKey val="0"/>
          <c:showVal val="0"/>
          <c:showCatName val="0"/>
          <c:showSerName val="0"/>
          <c:showPercent val="0"/>
          <c:showBubbleSize val="0"/>
        </c:dLbls>
        <c:hiLowLines>
          <c:spPr>
            <a:ln w="0">
              <a:noFill/>
            </a:ln>
          </c:spPr>
        </c:hiLowLines>
        <c:smooth val="0"/>
        <c:axId val="62363600"/>
        <c:axId val="34921418"/>
      </c:lineChart>
      <c:catAx>
        <c:axId val="62363600"/>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sz="1000" b="0" strike="noStrike" spc="-1">
                <a:solidFill>
                  <a:srgbClr val="404040"/>
                </a:solidFill>
                <a:latin typeface="Arial"/>
              </a:defRPr>
            </a:pPr>
            <a:endParaRPr lang="en-US"/>
          </a:p>
        </c:txPr>
        <c:crossAx val="34921418"/>
        <c:crosses val="autoZero"/>
        <c:auto val="1"/>
        <c:lblAlgn val="ctr"/>
        <c:lblOffset val="100"/>
        <c:noMultiLvlLbl val="0"/>
      </c:catAx>
      <c:valAx>
        <c:axId val="34921418"/>
        <c:scaling>
          <c:orientation val="minMax"/>
        </c:scaling>
        <c:delete val="0"/>
        <c:axPos val="l"/>
        <c:numFmt formatCode="0.00\x" sourceLinked="0"/>
        <c:majorTickMark val="none"/>
        <c:minorTickMark val="none"/>
        <c:tickLblPos val="nextTo"/>
        <c:spPr>
          <a:ln w="9360">
            <a:solidFill>
              <a:srgbClr val="878787"/>
            </a:solidFill>
            <a:round/>
          </a:ln>
        </c:spPr>
        <c:txPr>
          <a:bodyPr/>
          <a:lstStyle/>
          <a:p>
            <a:pPr>
              <a:defRPr sz="1000" b="0" strike="noStrike" spc="-1">
                <a:solidFill>
                  <a:srgbClr val="404040"/>
                </a:solidFill>
                <a:latin typeface="Arial"/>
              </a:defRPr>
            </a:pPr>
            <a:endParaRPr lang="en-US"/>
          </a:p>
        </c:txPr>
        <c:crossAx val="62363600"/>
        <c:crosses val="autoZero"/>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300" b="1" strike="noStrike" spc="-1">
                <a:solidFill>
                  <a:srgbClr val="1B998B"/>
                </a:solidFill>
                <a:latin typeface="Arial"/>
              </a:defRPr>
            </a:pPr>
            <a:r>
              <a:rPr lang="en-IN" sz="1300" b="1" strike="noStrike" spc="-1">
                <a:solidFill>
                  <a:srgbClr val="1B998B"/>
                </a:solidFill>
                <a:latin typeface="Arial"/>
              </a:rPr>
              <a:t>EPS Accretion / (Dilution) Bridge — Year 1</a:t>
            </a:r>
          </a:p>
        </c:rich>
      </c:tx>
      <c:overlay val="0"/>
      <c:spPr>
        <a:noFill/>
        <a:ln w="0">
          <a:noFill/>
        </a:ln>
      </c:spPr>
    </c:title>
    <c:autoTitleDeleted val="0"/>
    <c:plotArea>
      <c:layout/>
      <c:barChart>
        <c:barDir val="col"/>
        <c:grouping val="stacked"/>
        <c:varyColors val="0"/>
        <c:ser>
          <c:idx val="0"/>
          <c:order val="0"/>
          <c:spPr>
            <a:noFill/>
            <a:ln w="1260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Dashboard!$B$86:$B$94</c:f>
              <c:strCache>
                <c:ptCount val="9"/>
                <c:pt idx="0">
                  <c:v>Standalone EPS</c:v>
                </c:pt>
                <c:pt idx="1">
                  <c:v>+ Target Earnings</c:v>
                </c:pt>
                <c:pt idx="2">
                  <c:v>+ Synergies</c:v>
                </c:pt>
                <c:pt idx="3">
                  <c:v>Integration</c:v>
                </c:pt>
                <c:pt idx="4">
                  <c:v>Financing Cost</c:v>
                </c:pt>
                <c:pt idx="5">
                  <c:v>PPA / Step-Up Amort</c:v>
                </c:pt>
                <c:pt idx="6">
                  <c:v>Deal Fees</c:v>
                </c:pt>
                <c:pt idx="7">
                  <c:v>Share Dilution Drag</c:v>
                </c:pt>
                <c:pt idx="8">
                  <c:v>Pro Forma EPS</c:v>
                </c:pt>
              </c:strCache>
            </c:strRef>
          </c:cat>
          <c:val>
            <c:numRef>
              <c:f>Dashboard!$C$86:$C$94</c:f>
              <c:numCache>
                <c:formatCode>\$#,##0.00</c:formatCode>
                <c:ptCount val="9"/>
                <c:pt idx="0">
                  <c:v>0</c:v>
                </c:pt>
                <c:pt idx="1">
                  <c:v>22.597727272727273</c:v>
                </c:pt>
                <c:pt idx="2">
                  <c:v>22.733133899233298</c:v>
                </c:pt>
                <c:pt idx="3">
                  <c:v>22.671010405257395</c:v>
                </c:pt>
                <c:pt idx="4">
                  <c:v>22.573702423329685</c:v>
                </c:pt>
                <c:pt idx="5">
                  <c:v>22.497459953450168</c:v>
                </c:pt>
                <c:pt idx="6">
                  <c:v>22.334486631591304</c:v>
                </c:pt>
                <c:pt idx="7">
                  <c:v>22.198355744406189</c:v>
                </c:pt>
                <c:pt idx="8">
                  <c:v>0</c:v>
                </c:pt>
              </c:numCache>
            </c:numRef>
          </c:val>
          <c:extLst>
            <c:ext xmlns:c16="http://schemas.microsoft.com/office/drawing/2014/chart" uri="{C3380CC4-5D6E-409C-BE32-E72D297353CC}">
              <c16:uniqueId val="{00000000-A890-4D49-80A9-4067961ACD24}"/>
            </c:ext>
          </c:extLst>
        </c:ser>
        <c:ser>
          <c:idx val="1"/>
          <c:order val="1"/>
          <c:spPr>
            <a:solidFill>
              <a:srgbClr val="1B998B"/>
            </a:solidFill>
            <a:ln w="12600">
              <a:noFill/>
            </a:ln>
          </c:spPr>
          <c:invertIfNegative val="0"/>
          <c:dPt>
            <c:idx val="0"/>
            <c:invertIfNegative val="0"/>
            <c:bubble3D val="0"/>
            <c:spPr>
              <a:solidFill>
                <a:srgbClr val="1B998B"/>
              </a:solidFill>
              <a:ln w="0">
                <a:noFill/>
              </a:ln>
            </c:spPr>
            <c:extLst>
              <c:ext xmlns:c16="http://schemas.microsoft.com/office/drawing/2014/chart" uri="{C3380CC4-5D6E-409C-BE32-E72D297353CC}">
                <c16:uniqueId val="{00000002-A890-4D49-80A9-4067961ACD24}"/>
              </c:ext>
            </c:extLst>
          </c:dPt>
          <c:dPt>
            <c:idx val="1"/>
            <c:invertIfNegative val="0"/>
            <c:bubble3D val="0"/>
            <c:spPr>
              <a:solidFill>
                <a:srgbClr val="404040"/>
              </a:solidFill>
              <a:ln w="0">
                <a:noFill/>
              </a:ln>
            </c:spPr>
            <c:extLst>
              <c:ext xmlns:c16="http://schemas.microsoft.com/office/drawing/2014/chart" uri="{C3380CC4-5D6E-409C-BE32-E72D297353CC}">
                <c16:uniqueId val="{00000004-A890-4D49-80A9-4067961ACD24}"/>
              </c:ext>
            </c:extLst>
          </c:dPt>
          <c:dPt>
            <c:idx val="2"/>
            <c:invertIfNegative val="0"/>
            <c:bubble3D val="0"/>
            <c:spPr>
              <a:solidFill>
                <a:srgbClr val="404040"/>
              </a:solidFill>
              <a:ln w="0">
                <a:noFill/>
              </a:ln>
            </c:spPr>
            <c:extLst>
              <c:ext xmlns:c16="http://schemas.microsoft.com/office/drawing/2014/chart" uri="{C3380CC4-5D6E-409C-BE32-E72D297353CC}">
                <c16:uniqueId val="{00000006-A890-4D49-80A9-4067961ACD24}"/>
              </c:ext>
            </c:extLst>
          </c:dPt>
          <c:dPt>
            <c:idx val="3"/>
            <c:invertIfNegative val="0"/>
            <c:bubble3D val="0"/>
            <c:spPr>
              <a:solidFill>
                <a:srgbClr val="404040"/>
              </a:solidFill>
              <a:ln w="0">
                <a:noFill/>
              </a:ln>
            </c:spPr>
            <c:extLst>
              <c:ext xmlns:c16="http://schemas.microsoft.com/office/drawing/2014/chart" uri="{C3380CC4-5D6E-409C-BE32-E72D297353CC}">
                <c16:uniqueId val="{00000008-A890-4D49-80A9-4067961ACD24}"/>
              </c:ext>
            </c:extLst>
          </c:dPt>
          <c:dPt>
            <c:idx val="4"/>
            <c:invertIfNegative val="0"/>
            <c:bubble3D val="0"/>
            <c:spPr>
              <a:solidFill>
                <a:srgbClr val="404040"/>
              </a:solidFill>
              <a:ln w="0">
                <a:noFill/>
              </a:ln>
            </c:spPr>
            <c:extLst>
              <c:ext xmlns:c16="http://schemas.microsoft.com/office/drawing/2014/chart" uri="{C3380CC4-5D6E-409C-BE32-E72D297353CC}">
                <c16:uniqueId val="{0000000A-A890-4D49-80A9-4067961ACD24}"/>
              </c:ext>
            </c:extLst>
          </c:dPt>
          <c:dPt>
            <c:idx val="5"/>
            <c:invertIfNegative val="0"/>
            <c:bubble3D val="0"/>
            <c:spPr>
              <a:solidFill>
                <a:srgbClr val="404040"/>
              </a:solidFill>
              <a:ln w="0">
                <a:noFill/>
              </a:ln>
            </c:spPr>
            <c:extLst>
              <c:ext xmlns:c16="http://schemas.microsoft.com/office/drawing/2014/chart" uri="{C3380CC4-5D6E-409C-BE32-E72D297353CC}">
                <c16:uniqueId val="{0000000C-A890-4D49-80A9-4067961ACD24}"/>
              </c:ext>
            </c:extLst>
          </c:dPt>
          <c:dPt>
            <c:idx val="6"/>
            <c:invertIfNegative val="0"/>
            <c:bubble3D val="0"/>
            <c:spPr>
              <a:solidFill>
                <a:srgbClr val="404040"/>
              </a:solidFill>
              <a:ln w="0">
                <a:noFill/>
              </a:ln>
            </c:spPr>
            <c:extLst>
              <c:ext xmlns:c16="http://schemas.microsoft.com/office/drawing/2014/chart" uri="{C3380CC4-5D6E-409C-BE32-E72D297353CC}">
                <c16:uniqueId val="{0000000E-A890-4D49-80A9-4067961ACD24}"/>
              </c:ext>
            </c:extLst>
          </c:dPt>
          <c:dPt>
            <c:idx val="7"/>
            <c:invertIfNegative val="0"/>
            <c:bubble3D val="0"/>
            <c:spPr>
              <a:solidFill>
                <a:srgbClr val="404040"/>
              </a:solidFill>
              <a:ln w="0">
                <a:noFill/>
              </a:ln>
            </c:spPr>
            <c:extLst>
              <c:ext xmlns:c16="http://schemas.microsoft.com/office/drawing/2014/chart" uri="{C3380CC4-5D6E-409C-BE32-E72D297353CC}">
                <c16:uniqueId val="{00000010-A890-4D49-80A9-4067961ACD24}"/>
              </c:ext>
            </c:extLst>
          </c:dPt>
          <c:dPt>
            <c:idx val="8"/>
            <c:invertIfNegative val="0"/>
            <c:bubble3D val="0"/>
            <c:spPr>
              <a:solidFill>
                <a:srgbClr val="1B998B"/>
              </a:solidFill>
              <a:ln w="0">
                <a:noFill/>
              </a:ln>
            </c:spPr>
            <c:extLst>
              <c:ext xmlns:c16="http://schemas.microsoft.com/office/drawing/2014/chart" uri="{C3380CC4-5D6E-409C-BE32-E72D297353CC}">
                <c16:uniqueId val="{00000012-A890-4D49-80A9-4067961ACD24}"/>
              </c:ext>
            </c:extLst>
          </c:dPt>
          <c:dLbls>
            <c:dLbl>
              <c:idx val="0"/>
              <c:spPr/>
              <c:txPr>
                <a:bodyPr wrap="square"/>
                <a:lstStyle/>
                <a:p>
                  <a:pPr>
                    <a:defRPr sz="900" b="0" strike="noStrike" spc="-1">
                      <a:solidFill>
                        <a:srgbClr val="404040"/>
                      </a:solidFill>
                      <a:latin typeface="Arial"/>
                    </a:defRPr>
                  </a:pPr>
                  <a:endParaRPr lang="en-US"/>
                </a:p>
              </c:txPr>
              <c:dLblPos val="ct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A890-4D49-80A9-4067961ACD24}"/>
                </c:ext>
              </c:extLst>
            </c:dLbl>
            <c:dLbl>
              <c:idx val="1"/>
              <c:spPr/>
              <c:txPr>
                <a:bodyPr wrap="square"/>
                <a:lstStyle/>
                <a:p>
                  <a:pPr>
                    <a:defRPr sz="900" b="0" strike="noStrike" spc="-1">
                      <a:solidFill>
                        <a:srgbClr val="404040"/>
                      </a:solidFill>
                      <a:latin typeface="Arial"/>
                    </a:defRPr>
                  </a:pPr>
                  <a:endParaRPr lang="en-US"/>
                </a:p>
              </c:txPr>
              <c:dLblPos val="ct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A890-4D49-80A9-4067961ACD24}"/>
                </c:ext>
              </c:extLst>
            </c:dLbl>
            <c:dLbl>
              <c:idx val="2"/>
              <c:spPr/>
              <c:txPr>
                <a:bodyPr wrap="square"/>
                <a:lstStyle/>
                <a:p>
                  <a:pPr>
                    <a:defRPr sz="900" b="0" strike="noStrike" spc="-1">
                      <a:solidFill>
                        <a:srgbClr val="404040"/>
                      </a:solidFill>
                      <a:latin typeface="Arial"/>
                    </a:defRPr>
                  </a:pPr>
                  <a:endParaRPr lang="en-US"/>
                </a:p>
              </c:txPr>
              <c:dLblPos val="ct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A890-4D49-80A9-4067961ACD24}"/>
                </c:ext>
              </c:extLst>
            </c:dLbl>
            <c:dLbl>
              <c:idx val="3"/>
              <c:spPr/>
              <c:txPr>
                <a:bodyPr wrap="square"/>
                <a:lstStyle/>
                <a:p>
                  <a:pPr>
                    <a:defRPr sz="900" b="0" strike="noStrike" spc="-1">
                      <a:solidFill>
                        <a:srgbClr val="404040"/>
                      </a:solidFill>
                      <a:latin typeface="Arial"/>
                    </a:defRPr>
                  </a:pPr>
                  <a:endParaRPr lang="en-US"/>
                </a:p>
              </c:txPr>
              <c:dLblPos val="ct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A890-4D49-80A9-4067961ACD24}"/>
                </c:ext>
              </c:extLst>
            </c:dLbl>
            <c:dLbl>
              <c:idx val="4"/>
              <c:spPr/>
              <c:txPr>
                <a:bodyPr wrap="square"/>
                <a:lstStyle/>
                <a:p>
                  <a:pPr>
                    <a:defRPr sz="900" b="0" strike="noStrike" spc="-1">
                      <a:solidFill>
                        <a:srgbClr val="404040"/>
                      </a:solidFill>
                      <a:latin typeface="Arial"/>
                    </a:defRPr>
                  </a:pPr>
                  <a:endParaRPr lang="en-US"/>
                </a:p>
              </c:txPr>
              <c:dLblPos val="ct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A890-4D49-80A9-4067961ACD24}"/>
                </c:ext>
              </c:extLst>
            </c:dLbl>
            <c:dLbl>
              <c:idx val="5"/>
              <c:spPr/>
              <c:txPr>
                <a:bodyPr wrap="square"/>
                <a:lstStyle/>
                <a:p>
                  <a:pPr>
                    <a:defRPr sz="900" b="0" strike="noStrike" spc="-1">
                      <a:solidFill>
                        <a:srgbClr val="404040"/>
                      </a:solidFill>
                      <a:latin typeface="Arial"/>
                    </a:defRPr>
                  </a:pPr>
                  <a:endParaRPr lang="en-US"/>
                </a:p>
              </c:txPr>
              <c:dLblPos val="ct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A890-4D49-80A9-4067961ACD24}"/>
                </c:ext>
              </c:extLst>
            </c:dLbl>
            <c:dLbl>
              <c:idx val="6"/>
              <c:spPr/>
              <c:txPr>
                <a:bodyPr wrap="square"/>
                <a:lstStyle/>
                <a:p>
                  <a:pPr>
                    <a:defRPr sz="900" b="0" strike="noStrike" spc="-1">
                      <a:solidFill>
                        <a:srgbClr val="404040"/>
                      </a:solidFill>
                      <a:latin typeface="Arial"/>
                    </a:defRPr>
                  </a:pPr>
                  <a:endParaRPr lang="en-US"/>
                </a:p>
              </c:txPr>
              <c:dLblPos val="ct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A890-4D49-80A9-4067961ACD24}"/>
                </c:ext>
              </c:extLst>
            </c:dLbl>
            <c:dLbl>
              <c:idx val="7"/>
              <c:spPr/>
              <c:txPr>
                <a:bodyPr wrap="square"/>
                <a:lstStyle/>
                <a:p>
                  <a:pPr>
                    <a:defRPr sz="900" b="0" strike="noStrike" spc="-1">
                      <a:solidFill>
                        <a:srgbClr val="404040"/>
                      </a:solidFill>
                      <a:latin typeface="Arial"/>
                    </a:defRPr>
                  </a:pPr>
                  <a:endParaRPr lang="en-US"/>
                </a:p>
              </c:txPr>
              <c:dLblPos val="ct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A890-4D49-80A9-4067961ACD24}"/>
                </c:ext>
              </c:extLst>
            </c:dLbl>
            <c:dLbl>
              <c:idx val="8"/>
              <c:spPr/>
              <c:txPr>
                <a:bodyPr wrap="square"/>
                <a:lstStyle/>
                <a:p>
                  <a:pPr>
                    <a:defRPr sz="900" b="0" strike="noStrike" spc="-1">
                      <a:solidFill>
                        <a:srgbClr val="404040"/>
                      </a:solidFill>
                      <a:latin typeface="Arial"/>
                    </a:defRPr>
                  </a:pPr>
                  <a:endParaRPr lang="en-US"/>
                </a:p>
              </c:txPr>
              <c:dLblPos val="ct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A890-4D49-80A9-4067961ACD24}"/>
                </c:ext>
              </c:extLst>
            </c:dLbl>
            <c:spPr>
              <a:noFill/>
              <a:ln>
                <a:noFill/>
              </a:ln>
              <a:effectLst/>
            </c:spPr>
            <c:txPr>
              <a:bodyPr wrap="square"/>
              <a:lstStyle/>
              <a:p>
                <a:pPr>
                  <a:defRPr sz="900" b="0" strike="noStrike" spc="-1">
                    <a:solidFill>
                      <a:srgbClr val="404040"/>
                    </a:solidFill>
                    <a:latin typeface="Arial"/>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Dashboard!$B$86:$B$94</c:f>
              <c:strCache>
                <c:ptCount val="9"/>
                <c:pt idx="0">
                  <c:v>Standalone EPS</c:v>
                </c:pt>
                <c:pt idx="1">
                  <c:v>+ Target Earnings</c:v>
                </c:pt>
                <c:pt idx="2">
                  <c:v>+ Synergies</c:v>
                </c:pt>
                <c:pt idx="3">
                  <c:v>Integration</c:v>
                </c:pt>
                <c:pt idx="4">
                  <c:v>Financing Cost</c:v>
                </c:pt>
                <c:pt idx="5">
                  <c:v>PPA / Step-Up Amort</c:v>
                </c:pt>
                <c:pt idx="6">
                  <c:v>Deal Fees</c:v>
                </c:pt>
                <c:pt idx="7">
                  <c:v>Share Dilution Drag</c:v>
                </c:pt>
                <c:pt idx="8">
                  <c:v>Pro Forma EPS</c:v>
                </c:pt>
              </c:strCache>
            </c:strRef>
          </c:cat>
          <c:val>
            <c:numRef>
              <c:f>Dashboard!$D$86:$D$94</c:f>
              <c:numCache>
                <c:formatCode>\$#,##0.00</c:formatCode>
                <c:ptCount val="9"/>
                <c:pt idx="0">
                  <c:v>22.597727272727273</c:v>
                </c:pt>
                <c:pt idx="1">
                  <c:v>0.13540662650602409</c:v>
                </c:pt>
                <c:pt idx="2">
                  <c:v>0.10730421686746988</c:v>
                </c:pt>
                <c:pt idx="3">
                  <c:v>0.16942771084337349</c:v>
                </c:pt>
                <c:pt idx="4">
                  <c:v>9.730798192771084E-2</c:v>
                </c:pt>
                <c:pt idx="5">
                  <c:v>7.6242469879518077E-2</c:v>
                </c:pt>
                <c:pt idx="6">
                  <c:v>0.16297332185886401</c:v>
                </c:pt>
                <c:pt idx="7">
                  <c:v>0.13613088718510369</c:v>
                </c:pt>
                <c:pt idx="8">
                  <c:v>22.198355744406189</c:v>
                </c:pt>
              </c:numCache>
            </c:numRef>
          </c:val>
          <c:extLst>
            <c:ext xmlns:c16="http://schemas.microsoft.com/office/drawing/2014/chart" uri="{C3380CC4-5D6E-409C-BE32-E72D297353CC}">
              <c16:uniqueId val="{00000013-A890-4D49-80A9-4067961ACD24}"/>
            </c:ext>
          </c:extLst>
        </c:ser>
        <c:dLbls>
          <c:showLegendKey val="0"/>
          <c:showVal val="0"/>
          <c:showCatName val="0"/>
          <c:showSerName val="0"/>
          <c:showPercent val="0"/>
          <c:showBubbleSize val="0"/>
        </c:dLbls>
        <c:gapWidth val="40"/>
        <c:overlap val="100"/>
        <c:axId val="83862031"/>
        <c:axId val="43823889"/>
      </c:barChart>
      <c:catAx>
        <c:axId val="83862031"/>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sz="1000" b="0" strike="noStrike" spc="-1">
                <a:solidFill>
                  <a:srgbClr val="404040"/>
                </a:solidFill>
                <a:latin typeface="Arial"/>
              </a:defRPr>
            </a:pPr>
            <a:endParaRPr lang="en-US"/>
          </a:p>
        </c:txPr>
        <c:crossAx val="43823889"/>
        <c:crosses val="autoZero"/>
        <c:auto val="1"/>
        <c:lblAlgn val="ctr"/>
        <c:lblOffset val="100"/>
        <c:noMultiLvlLbl val="0"/>
      </c:catAx>
      <c:valAx>
        <c:axId val="43823889"/>
        <c:scaling>
          <c:orientation val="minMax"/>
        </c:scaling>
        <c:delete val="0"/>
        <c:axPos val="l"/>
        <c:numFmt formatCode="\$#,##0.00" sourceLinked="0"/>
        <c:majorTickMark val="none"/>
        <c:minorTickMark val="none"/>
        <c:tickLblPos val="nextTo"/>
        <c:spPr>
          <a:ln w="9360">
            <a:solidFill>
              <a:srgbClr val="878787"/>
            </a:solidFill>
            <a:round/>
          </a:ln>
        </c:spPr>
        <c:txPr>
          <a:bodyPr/>
          <a:lstStyle/>
          <a:p>
            <a:pPr>
              <a:defRPr sz="1000" b="0" strike="noStrike" spc="-1">
                <a:solidFill>
                  <a:srgbClr val="404040"/>
                </a:solidFill>
                <a:latin typeface="Arial"/>
              </a:defRPr>
            </a:pPr>
            <a:endParaRPr lang="en-US"/>
          </a:p>
        </c:txPr>
        <c:crossAx val="83862031"/>
        <c:crosses val="autoZero"/>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4</xdr:col>
      <xdr:colOff>750600</xdr:colOff>
      <xdr:row>38</xdr:row>
      <xdr:rowOff>21600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23</xdr:row>
      <xdr:rowOff>0</xdr:rowOff>
    </xdr:from>
    <xdr:to>
      <xdr:col>12</xdr:col>
      <xdr:colOff>207720</xdr:colOff>
      <xdr:row>38</xdr:row>
      <xdr:rowOff>21600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41</xdr:row>
      <xdr:rowOff>0</xdr:rowOff>
    </xdr:from>
    <xdr:to>
      <xdr:col>4</xdr:col>
      <xdr:colOff>750600</xdr:colOff>
      <xdr:row>56</xdr:row>
      <xdr:rowOff>21600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41</xdr:row>
      <xdr:rowOff>0</xdr:rowOff>
    </xdr:from>
    <xdr:to>
      <xdr:col>12</xdr:col>
      <xdr:colOff>207720</xdr:colOff>
      <xdr:row>56</xdr:row>
      <xdr:rowOff>21600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60</xdr:row>
      <xdr:rowOff>0</xdr:rowOff>
    </xdr:from>
    <xdr:to>
      <xdr:col>11</xdr:col>
      <xdr:colOff>332640</xdr:colOff>
      <xdr:row>76</xdr:row>
      <xdr:rowOff>173460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F4C5C"/>
      </a:dk2>
      <a:lt2>
        <a:srgbClr val="EEECE1"/>
      </a:lt2>
      <a:accent1>
        <a:srgbClr val="1B998B"/>
      </a:accent1>
      <a:accent2>
        <a:srgbClr val="2D6A4F"/>
      </a:accent2>
      <a:accent3>
        <a:srgbClr val="5BC0BE"/>
      </a:accent3>
      <a:accent4>
        <a:srgbClr val="3A506B"/>
      </a:accent4>
      <a:accent5>
        <a:srgbClr val="84DCC6"/>
      </a:accent5>
      <a:accent6>
        <a:srgbClr val="DFF3E3"/>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pageSetUpPr fitToPage="1"/>
  </sheetPr>
  <dimension ref="A1:AD30"/>
  <sheetViews>
    <sheetView showGridLines="0" zoomScaleNormal="100" workbookViewId="0">
      <selection activeCell="F16" sqref="F16"/>
    </sheetView>
  </sheetViews>
  <sheetFormatPr defaultColWidth="8.59765625" defaultRowHeight="13.8" x14ac:dyDescent="0.25"/>
  <cols>
    <col min="1" max="1" width="2" customWidth="1"/>
    <col min="2" max="2" width="32" customWidth="1"/>
    <col min="3" max="3" width="50" customWidth="1"/>
    <col min="4" max="4" width="8" customWidth="1"/>
    <col min="5" max="5" width="18" customWidth="1"/>
  </cols>
  <sheetData>
    <row r="1" spans="1:30" ht="14.25" customHeight="1" x14ac:dyDescent="0.3">
      <c r="A1" s="86"/>
      <c r="B1" s="86"/>
      <c r="C1" s="86"/>
      <c r="D1" s="86"/>
      <c r="E1" s="86"/>
      <c r="F1" s="87"/>
      <c r="G1" s="87"/>
      <c r="H1" s="87"/>
      <c r="I1" s="87"/>
      <c r="J1" s="87"/>
      <c r="K1" s="87"/>
      <c r="L1" s="87"/>
      <c r="M1" s="87"/>
      <c r="N1" s="87"/>
      <c r="O1" s="85"/>
      <c r="P1" s="85"/>
      <c r="Q1" s="85"/>
      <c r="R1" s="85"/>
      <c r="S1" s="85"/>
      <c r="T1" s="85"/>
      <c r="U1" s="85"/>
      <c r="V1" s="85"/>
      <c r="W1" s="85"/>
      <c r="X1" s="85"/>
      <c r="Y1" s="85"/>
      <c r="Z1" s="85"/>
      <c r="AA1" s="85"/>
      <c r="AB1" s="85"/>
      <c r="AC1" s="85"/>
      <c r="AD1" s="85"/>
    </row>
    <row r="2" spans="1:30" ht="21.75" customHeight="1" x14ac:dyDescent="0.4">
      <c r="A2" s="86"/>
      <c r="B2" s="88" t="s">
        <v>0</v>
      </c>
      <c r="C2" s="86"/>
      <c r="D2" s="89"/>
      <c r="E2" s="86"/>
      <c r="F2" s="87"/>
      <c r="G2" s="87"/>
      <c r="H2" s="87"/>
      <c r="I2" s="87"/>
      <c r="J2" s="87"/>
      <c r="K2" s="87"/>
      <c r="L2" s="87"/>
      <c r="M2" s="87"/>
      <c r="N2" s="87"/>
      <c r="O2" s="85"/>
      <c r="P2" s="85"/>
      <c r="Q2" s="85"/>
      <c r="R2" s="85"/>
      <c r="S2" s="85"/>
      <c r="T2" s="85"/>
      <c r="U2" s="85"/>
      <c r="V2" s="85"/>
      <c r="W2" s="85"/>
      <c r="X2" s="85"/>
      <c r="Y2" s="85"/>
      <c r="Z2" s="85"/>
      <c r="AA2" s="85"/>
      <c r="AB2" s="85"/>
      <c r="AC2" s="85"/>
      <c r="AD2" s="85"/>
    </row>
    <row r="3" spans="1:30" ht="14.25" customHeight="1" x14ac:dyDescent="0.3">
      <c r="A3" s="86"/>
      <c r="B3" s="90" t="s">
        <v>1</v>
      </c>
      <c r="C3" s="86"/>
      <c r="D3" s="86"/>
      <c r="E3" s="86"/>
      <c r="F3" s="87"/>
      <c r="G3" s="87"/>
      <c r="H3" s="87"/>
      <c r="I3" s="87"/>
      <c r="J3" s="87"/>
      <c r="K3" s="87"/>
      <c r="L3" s="87"/>
      <c r="M3" s="87"/>
      <c r="N3" s="87"/>
      <c r="O3" s="85"/>
      <c r="P3" s="85"/>
      <c r="Q3" s="85"/>
      <c r="R3" s="85"/>
      <c r="S3" s="85"/>
      <c r="T3" s="85"/>
      <c r="U3" s="85"/>
      <c r="V3" s="85"/>
      <c r="W3" s="85"/>
      <c r="X3" s="85"/>
      <c r="Y3" s="85"/>
      <c r="Z3" s="85"/>
      <c r="AA3" s="85"/>
      <c r="AB3" s="85"/>
      <c r="AC3" s="85"/>
      <c r="AD3" s="85"/>
    </row>
    <row r="4" spans="1:30" ht="3.6" customHeight="1" x14ac:dyDescent="0.25">
      <c r="A4" s="1"/>
      <c r="B4" s="1"/>
      <c r="C4" s="1"/>
      <c r="D4" s="1"/>
      <c r="E4" s="1"/>
    </row>
    <row r="5" spans="1:30" x14ac:dyDescent="0.25">
      <c r="A5" s="1"/>
      <c r="B5" s="2" t="s">
        <v>2</v>
      </c>
      <c r="C5" s="3"/>
      <c r="D5" s="3"/>
      <c r="E5" s="3"/>
    </row>
    <row r="6" spans="1:30" ht="14.25" customHeight="1" x14ac:dyDescent="0.3">
      <c r="A6" s="1"/>
      <c r="B6" s="4" t="str">
        <f>HYPERLINK("#'Assumptions'!A1","Assumptions")</f>
        <v>Assumptions</v>
      </c>
      <c r="C6" s="5" t="s">
        <v>3</v>
      </c>
      <c r="D6" s="1"/>
      <c r="E6" s="1"/>
    </row>
    <row r="7" spans="1:30" ht="14.25" customHeight="1" x14ac:dyDescent="0.3">
      <c r="A7" s="1"/>
      <c r="B7" s="4" t="str">
        <f>HYPERLINK("#'Transaction_Summary'!A1","Transaction_Summary")</f>
        <v>Transaction_Summary</v>
      </c>
      <c r="C7" s="5" t="s">
        <v>4</v>
      </c>
      <c r="D7" s="1"/>
      <c r="E7" s="1"/>
    </row>
    <row r="8" spans="1:30" ht="14.25" customHeight="1" x14ac:dyDescent="0.3">
      <c r="A8" s="1"/>
      <c r="B8" s="4" t="str">
        <f>HYPERLINK("#'Pro_Forma_IS'!A1","Pro_Forma_IS")</f>
        <v>Pro_Forma_IS</v>
      </c>
      <c r="C8" s="5" t="s">
        <v>5</v>
      </c>
      <c r="D8" s="1"/>
      <c r="E8" s="1"/>
    </row>
    <row r="9" spans="1:30" ht="14.25" customHeight="1" x14ac:dyDescent="0.3">
      <c r="A9" s="1"/>
      <c r="B9" s="4" t="str">
        <f>HYPERLINK("#'Pro_Forma_BS'!A1","Pro_Forma_BS")</f>
        <v>Pro_Forma_BS</v>
      </c>
      <c r="C9" s="5" t="s">
        <v>6</v>
      </c>
      <c r="D9" s="1"/>
      <c r="E9" s="1"/>
    </row>
    <row r="10" spans="1:30" ht="14.25" customHeight="1" x14ac:dyDescent="0.3">
      <c r="A10" s="1"/>
      <c r="B10" s="4" t="str">
        <f>HYPERLINK("#'Pro_Forma_CF'!A1","Pro_Forma_CF")</f>
        <v>Pro_Forma_CF</v>
      </c>
      <c r="C10" s="5" t="s">
        <v>7</v>
      </c>
      <c r="D10" s="1"/>
      <c r="E10" s="1"/>
    </row>
    <row r="11" spans="1:30" ht="14.25" customHeight="1" x14ac:dyDescent="0.3">
      <c r="A11" s="1"/>
      <c r="B11" s="4" t="str">
        <f>HYPERLINK("#'Standalone_IS'!A1","Standalone_IS")</f>
        <v>Standalone_IS</v>
      </c>
      <c r="C11" s="5" t="s">
        <v>8</v>
      </c>
      <c r="D11" s="1"/>
      <c r="E11" s="1"/>
    </row>
    <row r="12" spans="1:30" ht="14.25" customHeight="1" x14ac:dyDescent="0.3">
      <c r="A12" s="1"/>
      <c r="B12" s="4" t="str">
        <f>HYPERLINK("#'Accretion_Dilution'!A1","Accretion_Dilution")</f>
        <v>Accretion_Dilution</v>
      </c>
      <c r="C12" s="5" t="s">
        <v>9</v>
      </c>
      <c r="D12" s="1"/>
      <c r="E12" s="1"/>
    </row>
    <row r="13" spans="1:30" ht="14.25" customHeight="1" x14ac:dyDescent="0.3">
      <c r="A13" s="1"/>
      <c r="B13" s="4" t="str">
        <f>HYPERLINK("#'Credit_Metrics'!A1","Credit_Metrics")</f>
        <v>Credit_Metrics</v>
      </c>
      <c r="C13" s="5" t="s">
        <v>10</v>
      </c>
      <c r="D13" s="1"/>
      <c r="E13" s="1"/>
    </row>
    <row r="14" spans="1:30" ht="14.25" customHeight="1" x14ac:dyDescent="0.3">
      <c r="A14" s="1"/>
      <c r="B14" s="4" t="str">
        <f>HYPERLINK("#'Buyer_Returns'!A1","Buyer_Returns")</f>
        <v>Buyer_Returns</v>
      </c>
      <c r="C14" s="5" t="s">
        <v>11</v>
      </c>
      <c r="D14" s="1"/>
      <c r="E14" s="1"/>
    </row>
    <row r="15" spans="1:30" ht="14.25" customHeight="1" x14ac:dyDescent="0.3">
      <c r="A15" s="1"/>
      <c r="B15" s="4" t="str">
        <f>HYPERLINK("#'Sensitivity'!A1","Sensitivity")</f>
        <v>Sensitivity</v>
      </c>
      <c r="C15" s="5" t="s">
        <v>12</v>
      </c>
      <c r="D15" s="1"/>
      <c r="E15" s="1"/>
    </row>
    <row r="16" spans="1:30" ht="14.25" customHeight="1" x14ac:dyDescent="0.3">
      <c r="A16" s="1"/>
      <c r="B16" s="4" t="str">
        <f>HYPERLINK("#'Checks'!A1","Checks")</f>
        <v>Checks</v>
      </c>
      <c r="C16" s="5" t="s">
        <v>13</v>
      </c>
      <c r="D16" s="1"/>
      <c r="E16" s="1"/>
    </row>
    <row r="17" spans="1:7" ht="14.25" customHeight="1" x14ac:dyDescent="0.3">
      <c r="A17" s="1"/>
      <c r="B17" s="4" t="str">
        <f>HYPERLINK("#'Disclaimer'!A1","Disclaimer")</f>
        <v>Disclaimer</v>
      </c>
      <c r="C17" s="5" t="s">
        <v>14</v>
      </c>
      <c r="D17" s="1"/>
      <c r="E17" s="1"/>
    </row>
    <row r="18" spans="1:7" x14ac:dyDescent="0.25">
      <c r="A18" s="1"/>
      <c r="B18" s="1"/>
      <c r="C18" s="1"/>
      <c r="D18" s="1"/>
      <c r="E18" s="1"/>
    </row>
    <row r="19" spans="1:7" x14ac:dyDescent="0.25">
      <c r="A19" s="1"/>
      <c r="B19" s="1"/>
      <c r="C19" s="1"/>
      <c r="D19" s="1"/>
      <c r="E19" s="1"/>
    </row>
    <row r="20" spans="1:7" x14ac:dyDescent="0.25">
      <c r="A20" s="1"/>
      <c r="B20" s="2" t="s">
        <v>15</v>
      </c>
      <c r="C20" s="3"/>
      <c r="D20" s="3"/>
      <c r="E20" s="3"/>
    </row>
    <row r="21" spans="1:7" ht="90" customHeight="1" x14ac:dyDescent="0.25">
      <c r="A21" s="1"/>
      <c r="B21" s="64" t="s">
        <v>16</v>
      </c>
      <c r="C21" s="64"/>
      <c r="D21" s="64"/>
      <c r="E21" s="64"/>
    </row>
    <row r="24" spans="1:7" ht="19.5" customHeight="1" x14ac:dyDescent="0.3">
      <c r="B24" s="6" t="s">
        <v>15</v>
      </c>
      <c r="C24" s="7"/>
      <c r="D24" s="7"/>
      <c r="E24" s="7"/>
      <c r="F24" s="7"/>
      <c r="G24" s="7"/>
    </row>
    <row r="25" spans="1:7" ht="271.5" customHeight="1" x14ac:dyDescent="0.25">
      <c r="B25" s="65" t="s">
        <v>17</v>
      </c>
      <c r="C25" s="65"/>
      <c r="D25" s="65"/>
      <c r="E25" s="65"/>
      <c r="F25" s="65"/>
      <c r="G25" s="65"/>
    </row>
    <row r="27" spans="1:7" ht="19.5" customHeight="1" x14ac:dyDescent="0.3">
      <c r="B27" s="6" t="s">
        <v>18</v>
      </c>
      <c r="C27" s="7"/>
      <c r="D27" s="7"/>
      <c r="E27" s="7"/>
      <c r="F27" s="7"/>
      <c r="G27" s="7"/>
    </row>
    <row r="28" spans="1:7" ht="57" customHeight="1" x14ac:dyDescent="0.25">
      <c r="B28" s="65" t="s">
        <v>19</v>
      </c>
      <c r="C28" s="65"/>
      <c r="D28" s="65"/>
      <c r="E28" s="65"/>
      <c r="F28" s="65"/>
      <c r="G28" s="65"/>
    </row>
    <row r="29" spans="1:7" ht="14.25" customHeight="1" x14ac:dyDescent="0.25">
      <c r="B29" s="66" t="s">
        <v>20</v>
      </c>
      <c r="C29" s="66"/>
      <c r="D29" s="66"/>
      <c r="E29" s="66"/>
      <c r="F29" s="66"/>
      <c r="G29" s="66"/>
    </row>
    <row r="30" spans="1:7" x14ac:dyDescent="0.25">
      <c r="B30" s="8" t="s">
        <v>21</v>
      </c>
    </row>
  </sheetData>
  <mergeCells count="4">
    <mergeCell ref="B21:E21"/>
    <mergeCell ref="B25:G25"/>
    <mergeCell ref="B28:G28"/>
    <mergeCell ref="B29:G29"/>
  </mergeCells>
  <pageMargins left="0.75" right="0.75" top="1" bottom="1" header="0.511811023622047" footer="0.511811023622047"/>
  <pageSetup paperSize="9" scale="24"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5A5A5"/>
    <pageSetUpPr fitToPage="1"/>
  </sheetPr>
  <dimension ref="A1:AD109"/>
  <sheetViews>
    <sheetView showGridLines="0" zoomScaleNormal="100" workbookViewId="0">
      <selection activeCell="P8" sqref="P8"/>
    </sheetView>
  </sheetViews>
  <sheetFormatPr defaultColWidth="8.59765625" defaultRowHeight="13.8" x14ac:dyDescent="0.25"/>
  <cols>
    <col min="1" max="1" width="1.8984375" customWidth="1"/>
    <col min="2" max="2" width="34" customWidth="1"/>
    <col min="3" max="9" width="13" customWidth="1"/>
    <col min="11" max="11" width="10.796875" customWidth="1"/>
  </cols>
  <sheetData>
    <row r="1" spans="1:30" ht="14.25" customHeight="1" x14ac:dyDescent="0.3">
      <c r="A1" s="86"/>
      <c r="B1" s="86"/>
      <c r="C1" s="86"/>
      <c r="D1" s="86"/>
      <c r="E1" s="86"/>
      <c r="F1" s="86"/>
      <c r="G1" s="86"/>
      <c r="H1" s="86"/>
      <c r="I1" s="86"/>
      <c r="J1" s="86"/>
      <c r="K1" s="86"/>
      <c r="L1" s="87"/>
      <c r="M1" s="87"/>
      <c r="N1" s="87"/>
      <c r="O1" s="87"/>
      <c r="P1" s="87"/>
      <c r="Q1" s="85"/>
      <c r="R1" s="85"/>
      <c r="S1" s="85"/>
      <c r="T1" s="85"/>
      <c r="U1" s="85"/>
      <c r="V1" s="85"/>
      <c r="W1" s="85"/>
      <c r="X1" s="85"/>
      <c r="Y1" s="85"/>
      <c r="Z1" s="85"/>
      <c r="AA1" s="85"/>
      <c r="AB1" s="85"/>
      <c r="AC1" s="85"/>
      <c r="AD1" s="85"/>
    </row>
    <row r="2" spans="1:30" ht="21.75" customHeight="1" x14ac:dyDescent="0.4">
      <c r="A2" s="86"/>
      <c r="B2" s="88" t="s">
        <v>22</v>
      </c>
      <c r="C2" s="86"/>
      <c r="D2" s="86"/>
      <c r="E2" s="86"/>
      <c r="F2" s="86"/>
      <c r="G2" s="86"/>
      <c r="H2" s="86"/>
      <c r="I2" s="86"/>
      <c r="J2" s="86"/>
      <c r="K2" s="86"/>
      <c r="L2" s="87"/>
      <c r="M2" s="87"/>
      <c r="N2" s="87"/>
      <c r="O2" s="87"/>
      <c r="P2" s="87"/>
      <c r="Q2" s="85"/>
      <c r="R2" s="85"/>
      <c r="S2" s="85"/>
      <c r="T2" s="85"/>
      <c r="U2" s="85"/>
      <c r="V2" s="85"/>
      <c r="W2" s="85"/>
      <c r="X2" s="85"/>
      <c r="Y2" s="85"/>
      <c r="Z2" s="85"/>
      <c r="AA2" s="85"/>
      <c r="AB2" s="85"/>
      <c r="AC2" s="85"/>
      <c r="AD2" s="85"/>
    </row>
    <row r="3" spans="1:30" ht="15.75" customHeight="1" x14ac:dyDescent="0.3">
      <c r="A3" s="86"/>
      <c r="B3" s="90" t="s">
        <v>23</v>
      </c>
      <c r="C3" s="86"/>
      <c r="D3" s="86"/>
      <c r="E3" s="86"/>
      <c r="F3" s="86"/>
      <c r="G3" s="86"/>
      <c r="H3" s="86"/>
      <c r="I3" s="86"/>
      <c r="J3" s="86"/>
      <c r="K3" s="86"/>
      <c r="L3" s="87"/>
      <c r="M3" s="87"/>
      <c r="N3" s="87"/>
      <c r="O3" s="87"/>
      <c r="P3" s="87"/>
      <c r="Q3" s="85"/>
      <c r="R3" s="85"/>
      <c r="S3" s="85"/>
      <c r="T3" s="85"/>
      <c r="U3" s="85"/>
      <c r="V3" s="85"/>
      <c r="W3" s="85"/>
      <c r="X3" s="85"/>
      <c r="Y3" s="85"/>
      <c r="Z3" s="85"/>
      <c r="AA3" s="85"/>
      <c r="AB3" s="85"/>
      <c r="AC3" s="85"/>
      <c r="AD3" s="85"/>
    </row>
    <row r="4" spans="1:30" ht="14.25" customHeight="1" x14ac:dyDescent="0.3">
      <c r="A4" s="1"/>
      <c r="B4" s="1"/>
      <c r="C4" s="1"/>
      <c r="D4" s="1"/>
      <c r="E4" s="1"/>
      <c r="F4" s="1"/>
      <c r="G4" s="1"/>
      <c r="H4" s="1"/>
      <c r="I4" s="1"/>
      <c r="J4" s="1"/>
      <c r="K4" s="1"/>
      <c r="L4" s="9"/>
      <c r="M4" s="9"/>
      <c r="N4" s="9"/>
      <c r="O4" s="9"/>
      <c r="P4" s="9"/>
      <c r="Q4" s="9"/>
      <c r="R4" s="9"/>
      <c r="S4" s="9"/>
      <c r="T4" s="9"/>
      <c r="U4" s="9"/>
      <c r="V4" s="9"/>
      <c r="W4" s="9"/>
      <c r="X4" s="9"/>
      <c r="Y4" s="9"/>
      <c r="Z4" s="9"/>
      <c r="AA4" s="9"/>
      <c r="AB4" s="9"/>
      <c r="AC4" s="9"/>
      <c r="AD4" s="9"/>
    </row>
    <row r="5" spans="1:30" ht="14.25" customHeight="1" x14ac:dyDescent="0.3">
      <c r="A5" s="1"/>
      <c r="B5" s="10" t="s">
        <v>24</v>
      </c>
      <c r="C5" s="11"/>
      <c r="D5" s="11"/>
      <c r="E5" s="11"/>
      <c r="F5" s="11"/>
      <c r="G5" s="11"/>
      <c r="H5" s="11"/>
      <c r="I5" s="11"/>
      <c r="J5" s="1"/>
      <c r="K5" s="1"/>
      <c r="L5" s="9"/>
      <c r="M5" s="9"/>
      <c r="N5" s="9"/>
      <c r="O5" s="9"/>
      <c r="P5" s="9"/>
      <c r="Q5" s="9"/>
      <c r="R5" s="9"/>
      <c r="S5" s="9"/>
      <c r="T5" s="9"/>
      <c r="U5" s="9"/>
      <c r="V5" s="9"/>
      <c r="W5" s="9"/>
      <c r="X5" s="9"/>
      <c r="Y5" s="9"/>
      <c r="Z5" s="9"/>
      <c r="AA5" s="9"/>
      <c r="AB5" s="9"/>
      <c r="AC5" s="9"/>
      <c r="AD5" s="9"/>
    </row>
    <row r="6" spans="1:30" ht="18" customHeight="1" x14ac:dyDescent="0.3">
      <c r="A6" s="1"/>
      <c r="B6" s="71" t="s">
        <v>25</v>
      </c>
      <c r="C6" s="71"/>
      <c r="D6" s="71" t="s">
        <v>26</v>
      </c>
      <c r="E6" s="71"/>
      <c r="F6" s="71" t="s">
        <v>27</v>
      </c>
      <c r="G6" s="71"/>
      <c r="H6" s="71" t="s">
        <v>28</v>
      </c>
      <c r="I6" s="71"/>
      <c r="J6" s="71" t="s">
        <v>29</v>
      </c>
      <c r="K6" s="71"/>
      <c r="L6" s="9"/>
      <c r="M6" s="9"/>
      <c r="N6" s="9"/>
      <c r="O6" s="9"/>
      <c r="P6" s="9"/>
      <c r="Q6" s="9"/>
      <c r="R6" s="9"/>
      <c r="S6" s="9"/>
      <c r="T6" s="9"/>
      <c r="U6" s="9"/>
      <c r="V6" s="9"/>
      <c r="W6" s="9"/>
      <c r="X6" s="9"/>
      <c r="Y6" s="9"/>
      <c r="Z6" s="9"/>
      <c r="AA6" s="9"/>
      <c r="AB6" s="9"/>
      <c r="AC6" s="9"/>
      <c r="AD6" s="9"/>
    </row>
    <row r="7" spans="1:30" ht="25.5" customHeight="1" x14ac:dyDescent="0.3">
      <c r="A7" s="1"/>
      <c r="B7" s="72">
        <f>Assumptions!C87</f>
        <v>2250</v>
      </c>
      <c r="C7" s="72"/>
      <c r="D7" s="72">
        <f>Assumptions!C88</f>
        <v>2250</v>
      </c>
      <c r="E7" s="72"/>
      <c r="F7" s="69">
        <f>Assumptions!C34</f>
        <v>0.25</v>
      </c>
      <c r="G7" s="69"/>
      <c r="H7" s="72">
        <f>Assumptions!C50+Assumptions!C52</f>
        <v>350</v>
      </c>
      <c r="I7" s="72"/>
      <c r="J7" s="72">
        <f>Assumptions!C91</f>
        <v>-35</v>
      </c>
      <c r="K7" s="72"/>
      <c r="L7" s="9"/>
      <c r="M7" s="9"/>
      <c r="N7" s="9"/>
      <c r="O7" s="9"/>
      <c r="P7" s="9"/>
      <c r="Q7" s="9"/>
      <c r="R7" s="9"/>
      <c r="S7" s="9"/>
      <c r="T7" s="9"/>
      <c r="U7" s="9"/>
      <c r="V7" s="9"/>
      <c r="W7" s="9"/>
      <c r="X7" s="9"/>
      <c r="Y7" s="9"/>
      <c r="Z7" s="9"/>
      <c r="AA7" s="9"/>
      <c r="AB7" s="9"/>
      <c r="AC7" s="9"/>
      <c r="AD7" s="9"/>
    </row>
    <row r="8" spans="1:30" ht="7.5" customHeight="1" x14ac:dyDescent="0.3">
      <c r="A8" s="1"/>
      <c r="B8" s="72"/>
      <c r="C8" s="72"/>
      <c r="D8" s="72"/>
      <c r="E8" s="72"/>
      <c r="F8" s="69"/>
      <c r="G8" s="69"/>
      <c r="H8" s="72"/>
      <c r="I8" s="72"/>
      <c r="J8" s="72"/>
      <c r="K8" s="72"/>
      <c r="L8" s="9"/>
      <c r="M8" s="9"/>
      <c r="N8" s="9"/>
      <c r="O8" s="9"/>
      <c r="P8" s="9"/>
      <c r="Q8" s="9"/>
      <c r="R8" s="9"/>
      <c r="S8" s="9"/>
      <c r="T8" s="9"/>
      <c r="U8" s="9"/>
      <c r="V8" s="9"/>
      <c r="W8" s="9"/>
      <c r="X8" s="9"/>
      <c r="Y8" s="9"/>
      <c r="Z8" s="9"/>
      <c r="AA8" s="9"/>
      <c r="AB8" s="9"/>
      <c r="AC8" s="9"/>
      <c r="AD8" s="9"/>
    </row>
    <row r="9" spans="1:30" ht="13.5" customHeight="1" x14ac:dyDescent="0.3">
      <c r="A9" s="1"/>
      <c r="B9" s="67" t="s">
        <v>30</v>
      </c>
      <c r="C9" s="67"/>
      <c r="D9" s="67" t="s">
        <v>31</v>
      </c>
      <c r="E9" s="67"/>
      <c r="F9" s="67" t="s">
        <v>32</v>
      </c>
      <c r="G9" s="67"/>
      <c r="H9" s="67" t="s">
        <v>33</v>
      </c>
      <c r="I9" s="67"/>
      <c r="J9" s="67" t="s">
        <v>34</v>
      </c>
      <c r="K9" s="67"/>
      <c r="L9" s="9"/>
      <c r="M9" s="9"/>
      <c r="N9" s="9"/>
      <c r="O9" s="9"/>
      <c r="P9" s="9"/>
      <c r="Q9" s="9"/>
      <c r="R9" s="9"/>
      <c r="S9" s="9"/>
      <c r="T9" s="9"/>
      <c r="U9" s="9"/>
      <c r="V9" s="9"/>
      <c r="W9" s="9"/>
      <c r="X9" s="9"/>
      <c r="Y9" s="9"/>
      <c r="Z9" s="9"/>
      <c r="AA9" s="9"/>
      <c r="AB9" s="9"/>
      <c r="AC9" s="9"/>
      <c r="AD9" s="9"/>
    </row>
    <row r="10" spans="1:30" ht="18" customHeight="1" x14ac:dyDescent="0.3">
      <c r="A10" s="1"/>
      <c r="B10" s="71" t="s">
        <v>35</v>
      </c>
      <c r="C10" s="71"/>
      <c r="D10" s="71" t="s">
        <v>36</v>
      </c>
      <c r="E10" s="71"/>
      <c r="F10" s="71" t="s">
        <v>37</v>
      </c>
      <c r="G10" s="71"/>
      <c r="H10" s="71" t="s">
        <v>38</v>
      </c>
      <c r="I10" s="71"/>
      <c r="J10" s="71" t="s">
        <v>39</v>
      </c>
      <c r="K10" s="71"/>
      <c r="L10" s="9"/>
      <c r="M10" s="9"/>
      <c r="N10" s="9"/>
      <c r="O10" s="9"/>
      <c r="P10" s="9"/>
      <c r="Q10" s="9"/>
      <c r="R10" s="9"/>
      <c r="S10" s="9"/>
      <c r="T10" s="9"/>
      <c r="U10" s="9"/>
      <c r="V10" s="9"/>
      <c r="W10" s="9"/>
      <c r="X10" s="9"/>
      <c r="Y10" s="9"/>
      <c r="Z10" s="9"/>
      <c r="AA10" s="9"/>
      <c r="AB10" s="9"/>
      <c r="AC10" s="9"/>
      <c r="AD10" s="9"/>
    </row>
    <row r="11" spans="1:30" ht="25.5" customHeight="1" x14ac:dyDescent="0.3">
      <c r="A11" s="1"/>
      <c r="B11" s="68">
        <f>Pro_Forma_IS!C50</f>
        <v>22.198355744406189</v>
      </c>
      <c r="C11" s="68"/>
      <c r="D11" s="68">
        <f>Standalone_IS!C21</f>
        <v>22.597727272727273</v>
      </c>
      <c r="E11" s="68"/>
      <c r="F11" s="69">
        <f>Accretion_Dilution!C12</f>
        <v>-1.7673083823924029E-2</v>
      </c>
      <c r="G11" s="69"/>
      <c r="H11" s="69">
        <f>Accretion_Dilution!G12</f>
        <v>1.2773515354287191E-2</v>
      </c>
      <c r="I11" s="69"/>
      <c r="J11" s="70">
        <f>Credit_Metrics!C27</f>
        <v>0.38974998564079005</v>
      </c>
      <c r="K11" s="70"/>
      <c r="L11" s="9"/>
      <c r="M11" s="9"/>
      <c r="N11" s="9"/>
      <c r="O11" s="9"/>
      <c r="P11" s="9"/>
      <c r="Q11" s="9"/>
      <c r="R11" s="9"/>
      <c r="S11" s="9"/>
      <c r="T11" s="9"/>
      <c r="U11" s="9"/>
      <c r="V11" s="9"/>
      <c r="W11" s="9"/>
      <c r="X11" s="9"/>
      <c r="Y11" s="9"/>
      <c r="Z11" s="9"/>
      <c r="AA11" s="9"/>
      <c r="AB11" s="9"/>
      <c r="AC11" s="9"/>
      <c r="AD11" s="9"/>
    </row>
    <row r="12" spans="1:30" ht="7.5" customHeight="1" x14ac:dyDescent="0.3">
      <c r="A12" s="1"/>
      <c r="B12" s="68"/>
      <c r="C12" s="68"/>
      <c r="D12" s="68"/>
      <c r="E12" s="68"/>
      <c r="F12" s="69"/>
      <c r="G12" s="69"/>
      <c r="H12" s="69"/>
      <c r="I12" s="69"/>
      <c r="J12" s="70"/>
      <c r="K12" s="70"/>
      <c r="L12" s="9"/>
      <c r="M12" s="9"/>
      <c r="N12" s="9"/>
      <c r="O12" s="9"/>
      <c r="P12" s="9"/>
      <c r="Q12" s="9"/>
      <c r="R12" s="9"/>
      <c r="S12" s="9"/>
      <c r="T12" s="9"/>
      <c r="U12" s="9"/>
      <c r="V12" s="9"/>
      <c r="W12" s="9"/>
      <c r="X12" s="9"/>
      <c r="Y12" s="9"/>
      <c r="Z12" s="9"/>
      <c r="AA12" s="9"/>
      <c r="AB12" s="9"/>
      <c r="AC12" s="9"/>
      <c r="AD12" s="9"/>
    </row>
    <row r="13" spans="1:30" ht="13.5" customHeight="1" x14ac:dyDescent="0.3">
      <c r="A13" s="1"/>
      <c r="B13" s="67" t="s">
        <v>40</v>
      </c>
      <c r="C13" s="67"/>
      <c r="D13" s="67" t="s">
        <v>41</v>
      </c>
      <c r="E13" s="67"/>
      <c r="F13" s="67" t="s">
        <v>42</v>
      </c>
      <c r="G13" s="67"/>
      <c r="H13" s="67" t="s">
        <v>42</v>
      </c>
      <c r="I13" s="67"/>
      <c r="J13" s="67" t="s">
        <v>43</v>
      </c>
      <c r="K13" s="67"/>
      <c r="L13" s="9"/>
      <c r="M13" s="9"/>
      <c r="N13" s="9"/>
      <c r="O13" s="9"/>
      <c r="P13" s="9"/>
      <c r="Q13" s="9"/>
      <c r="R13" s="9"/>
      <c r="S13" s="9"/>
      <c r="T13" s="9"/>
      <c r="U13" s="9"/>
      <c r="V13" s="9"/>
      <c r="W13" s="9"/>
      <c r="X13" s="9"/>
      <c r="Y13" s="9"/>
      <c r="Z13" s="9"/>
      <c r="AA13" s="9"/>
      <c r="AB13" s="9"/>
      <c r="AC13" s="9"/>
      <c r="AD13" s="9"/>
    </row>
    <row r="14" spans="1:30" ht="14.25" customHeight="1" x14ac:dyDescent="0.3">
      <c r="A14" s="1"/>
      <c r="B14" s="1"/>
      <c r="C14" s="1"/>
      <c r="D14" s="1"/>
      <c r="E14" s="1"/>
      <c r="F14" s="1"/>
      <c r="G14" s="1"/>
      <c r="H14" s="1"/>
      <c r="I14" s="1"/>
      <c r="J14" s="1"/>
      <c r="K14" s="1"/>
      <c r="L14" s="9"/>
      <c r="M14" s="9"/>
      <c r="N14" s="9"/>
      <c r="O14" s="9"/>
      <c r="P14" s="9"/>
      <c r="Q14" s="9"/>
      <c r="R14" s="9"/>
      <c r="S14" s="9"/>
      <c r="T14" s="9"/>
      <c r="U14" s="9"/>
      <c r="V14" s="9"/>
      <c r="W14" s="9"/>
      <c r="X14" s="9"/>
      <c r="Y14" s="9"/>
      <c r="Z14" s="9"/>
      <c r="AA14" s="9"/>
      <c r="AB14" s="9"/>
      <c r="AC14" s="9"/>
      <c r="AD14" s="9"/>
    </row>
    <row r="15" spans="1:30" ht="14.25" customHeight="1" x14ac:dyDescent="0.3">
      <c r="A15" s="1"/>
      <c r="B15" s="10" t="s">
        <v>44</v>
      </c>
      <c r="C15" s="11"/>
      <c r="D15" s="11"/>
      <c r="E15" s="11"/>
      <c r="F15" s="11"/>
      <c r="G15" s="11"/>
      <c r="H15" s="11"/>
      <c r="I15" s="11"/>
      <c r="J15" s="1"/>
      <c r="K15" s="1"/>
      <c r="L15" s="9"/>
      <c r="M15" s="9"/>
      <c r="N15" s="9"/>
      <c r="O15" s="9"/>
      <c r="P15" s="9"/>
      <c r="Q15" s="9"/>
      <c r="R15" s="9"/>
      <c r="S15" s="9"/>
      <c r="T15" s="9"/>
      <c r="U15" s="9"/>
      <c r="V15" s="9"/>
      <c r="W15" s="9"/>
      <c r="X15" s="9"/>
      <c r="Y15" s="9"/>
      <c r="Z15" s="9"/>
      <c r="AA15" s="9"/>
      <c r="AB15" s="9"/>
      <c r="AC15" s="9"/>
      <c r="AD15" s="9"/>
    </row>
    <row r="16" spans="1:30" ht="14.25" customHeight="1" x14ac:dyDescent="0.3">
      <c r="A16" s="1"/>
      <c r="B16" s="12" t="s">
        <v>45</v>
      </c>
      <c r="C16" s="13" t="str">
        <f>Accretion_Dilution!C6</f>
        <v>Year 1</v>
      </c>
      <c r="D16" s="13" t="str">
        <f>Accretion_Dilution!D6</f>
        <v>Year 2</v>
      </c>
      <c r="E16" s="13" t="str">
        <f>Accretion_Dilution!E6</f>
        <v>Year 3</v>
      </c>
      <c r="F16" s="13" t="str">
        <f>Accretion_Dilution!F6</f>
        <v>Year 4</v>
      </c>
      <c r="G16" s="13" t="str">
        <f>Accretion_Dilution!G6</f>
        <v>Year 5</v>
      </c>
      <c r="H16" s="1"/>
      <c r="I16" s="1"/>
      <c r="J16" s="1"/>
      <c r="K16" s="1"/>
      <c r="L16" s="9"/>
      <c r="M16" s="9"/>
      <c r="N16" s="9"/>
      <c r="O16" s="9"/>
      <c r="P16" s="9"/>
      <c r="Q16" s="9"/>
      <c r="R16" s="9"/>
      <c r="S16" s="9"/>
      <c r="T16" s="9"/>
      <c r="U16" s="9"/>
      <c r="V16" s="9"/>
      <c r="W16" s="9"/>
      <c r="X16" s="9"/>
      <c r="Y16" s="9"/>
      <c r="Z16" s="9"/>
      <c r="AA16" s="9"/>
      <c r="AB16" s="9"/>
      <c r="AC16" s="9"/>
      <c r="AD16" s="9"/>
    </row>
    <row r="17" spans="1:30" ht="14.25" customHeight="1" x14ac:dyDescent="0.3">
      <c r="A17" s="1"/>
      <c r="B17" s="14" t="s">
        <v>46</v>
      </c>
      <c r="C17" s="15">
        <f>Standalone_IS!C21</f>
        <v>22.597727272727273</v>
      </c>
      <c r="D17" s="15">
        <f>Standalone_IS!D21</f>
        <v>23.773068181818179</v>
      </c>
      <c r="E17" s="15">
        <f>Standalone_IS!E21</f>
        <v>25.004903409090911</v>
      </c>
      <c r="F17" s="15">
        <f>Standalone_IS!F21</f>
        <v>26.296171306818184</v>
      </c>
      <c r="G17" s="15">
        <f>Standalone_IS!G21</f>
        <v>27.649951463068184</v>
      </c>
      <c r="H17" s="1"/>
      <c r="I17" s="1"/>
      <c r="J17" s="1"/>
      <c r="K17" s="1"/>
      <c r="L17" s="9"/>
      <c r="M17" s="9"/>
      <c r="N17" s="9"/>
      <c r="O17" s="9"/>
      <c r="P17" s="9"/>
      <c r="Q17" s="9"/>
      <c r="R17" s="9"/>
      <c r="S17" s="9"/>
      <c r="T17" s="9"/>
      <c r="U17" s="9"/>
      <c r="V17" s="9"/>
      <c r="W17" s="9"/>
      <c r="X17" s="9"/>
      <c r="Y17" s="9"/>
      <c r="Z17" s="9"/>
      <c r="AA17" s="9"/>
      <c r="AB17" s="9"/>
      <c r="AC17" s="9"/>
      <c r="AD17" s="9"/>
    </row>
    <row r="18" spans="1:30" ht="14.25" customHeight="1" x14ac:dyDescent="0.3">
      <c r="A18" s="1"/>
      <c r="B18" s="14" t="s">
        <v>47</v>
      </c>
      <c r="C18" s="15">
        <f>Pro_Forma_IS!C50</f>
        <v>22.198355744406189</v>
      </c>
      <c r="D18" s="15">
        <f>Pro_Forma_IS!D50</f>
        <v>23.678070051635114</v>
      </c>
      <c r="E18" s="15">
        <f>Pro_Forma_IS!E50</f>
        <v>25.241309093803796</v>
      </c>
      <c r="F18" s="15">
        <f>Pro_Forma_IS!F50</f>
        <v>26.644302684797754</v>
      </c>
      <c r="G18" s="15">
        <f>Pro_Forma_IS!G50</f>
        <v>28.003138542626981</v>
      </c>
      <c r="H18" s="1"/>
      <c r="I18" s="1"/>
      <c r="J18" s="1"/>
      <c r="K18" s="1"/>
      <c r="L18" s="9"/>
      <c r="M18" s="9"/>
      <c r="N18" s="9"/>
      <c r="O18" s="9"/>
      <c r="P18" s="9"/>
      <c r="Q18" s="9"/>
      <c r="R18" s="9"/>
      <c r="S18" s="9"/>
      <c r="T18" s="9"/>
      <c r="U18" s="9"/>
      <c r="V18" s="9"/>
      <c r="W18" s="9"/>
      <c r="X18" s="9"/>
      <c r="Y18" s="9"/>
      <c r="Z18" s="9"/>
      <c r="AA18" s="9"/>
      <c r="AB18" s="9"/>
      <c r="AC18" s="9"/>
      <c r="AD18" s="9"/>
    </row>
    <row r="19" spans="1:30" ht="14.25" customHeight="1" x14ac:dyDescent="0.3">
      <c r="A19" s="1"/>
      <c r="B19" s="16" t="s">
        <v>48</v>
      </c>
      <c r="C19" s="17">
        <f>Accretion_Dilution!C12</f>
        <v>-1.7673083823924029E-2</v>
      </c>
      <c r="D19" s="17">
        <f>Accretion_Dilution!D12</f>
        <v>-3.9960399497663487E-3</v>
      </c>
      <c r="E19" s="17">
        <f>Accretion_Dilution!E12</f>
        <v>9.4543730421664477E-3</v>
      </c>
      <c r="F19" s="17">
        <f>Accretion_Dilution!F12</f>
        <v>1.3238861806825271E-2</v>
      </c>
      <c r="G19" s="17">
        <f>Accretion_Dilution!G12</f>
        <v>1.2773515354287191E-2</v>
      </c>
      <c r="H19" s="1"/>
      <c r="I19" s="1"/>
      <c r="J19" s="1"/>
      <c r="K19" s="1"/>
      <c r="L19" s="9"/>
      <c r="M19" s="9"/>
      <c r="N19" s="9"/>
      <c r="O19" s="9"/>
      <c r="P19" s="9"/>
      <c r="Q19" s="9"/>
      <c r="R19" s="9"/>
      <c r="S19" s="9"/>
      <c r="T19" s="9"/>
      <c r="U19" s="9"/>
      <c r="V19" s="9"/>
      <c r="W19" s="9"/>
      <c r="X19" s="9"/>
      <c r="Y19" s="9"/>
      <c r="Z19" s="9"/>
      <c r="AA19" s="9"/>
      <c r="AB19" s="9"/>
      <c r="AC19" s="9"/>
      <c r="AD19" s="9"/>
    </row>
    <row r="20" spans="1:30" ht="14.25" customHeight="1" x14ac:dyDescent="0.3">
      <c r="A20" s="1"/>
      <c r="B20" s="14" t="s">
        <v>49</v>
      </c>
      <c r="C20" s="18">
        <f>Pro_Forma_IS!C48</f>
        <v>7369.8541071428554</v>
      </c>
      <c r="D20" s="18">
        <f>Pro_Forma_IS!D48</f>
        <v>7861.1192571428583</v>
      </c>
      <c r="E20" s="18">
        <f>Pro_Forma_IS!E48</f>
        <v>8380.1146191428597</v>
      </c>
      <c r="F20" s="18">
        <f>Pro_Forma_IS!F48</f>
        <v>8845.908491352855</v>
      </c>
      <c r="G20" s="18">
        <f>Pro_Forma_IS!G48</f>
        <v>9297.0419961521584</v>
      </c>
      <c r="H20" s="1"/>
      <c r="I20" s="1"/>
      <c r="J20" s="1"/>
      <c r="K20" s="1"/>
      <c r="L20" s="9"/>
      <c r="M20" s="9"/>
      <c r="N20" s="9"/>
      <c r="O20" s="9"/>
      <c r="P20" s="9"/>
      <c r="Q20" s="9"/>
      <c r="R20" s="9"/>
      <c r="S20" s="9"/>
      <c r="T20" s="9"/>
      <c r="U20" s="9"/>
      <c r="V20" s="9"/>
      <c r="W20" s="9"/>
      <c r="X20" s="9"/>
      <c r="Y20" s="9"/>
      <c r="Z20" s="9"/>
      <c r="AA20" s="9"/>
      <c r="AB20" s="9"/>
      <c r="AC20" s="9"/>
      <c r="AD20" s="9"/>
    </row>
    <row r="21" spans="1:30" ht="14.25" customHeight="1" x14ac:dyDescent="0.3">
      <c r="A21" s="1"/>
      <c r="B21" s="16" t="s">
        <v>43</v>
      </c>
      <c r="C21" s="19">
        <f>Credit_Metrics!C27</f>
        <v>0.38974998564079005</v>
      </c>
      <c r="D21" s="19">
        <f>Credit_Metrics!D27</f>
        <v>0.35161114361290879</v>
      </c>
      <c r="E21" s="19">
        <f>Credit_Metrics!E27</f>
        <v>0.3173415060772497</v>
      </c>
      <c r="F21" s="19">
        <f>Credit_Metrics!F27</f>
        <v>0.28652948975640902</v>
      </c>
      <c r="G21" s="19">
        <f>Credit_Metrics!G27</f>
        <v>0.25963232656860546</v>
      </c>
      <c r="H21" s="1"/>
      <c r="I21" s="1"/>
      <c r="J21" s="1"/>
      <c r="K21" s="1"/>
      <c r="L21" s="9"/>
      <c r="M21" s="9"/>
      <c r="N21" s="9"/>
      <c r="O21" s="9"/>
      <c r="P21" s="9"/>
      <c r="Q21" s="9"/>
      <c r="R21" s="9"/>
      <c r="S21" s="9"/>
      <c r="T21" s="9"/>
      <c r="U21" s="9"/>
      <c r="V21" s="9"/>
      <c r="W21" s="9"/>
      <c r="X21" s="9"/>
      <c r="Y21" s="9"/>
      <c r="Z21" s="9"/>
      <c r="AA21" s="9"/>
      <c r="AB21" s="9"/>
      <c r="AC21" s="9"/>
      <c r="AD21" s="9"/>
    </row>
    <row r="22" spans="1:30" ht="14.25" customHeight="1" x14ac:dyDescent="0.3">
      <c r="A22" s="1"/>
      <c r="B22" s="1"/>
      <c r="C22" s="1"/>
      <c r="D22" s="1"/>
      <c r="E22" s="1"/>
      <c r="F22" s="1"/>
      <c r="G22" s="1"/>
      <c r="H22" s="1"/>
      <c r="I22" s="1"/>
      <c r="J22" s="1"/>
      <c r="K22" s="1"/>
      <c r="L22" s="9"/>
      <c r="M22" s="9"/>
      <c r="N22" s="9"/>
      <c r="O22" s="9"/>
      <c r="P22" s="9"/>
      <c r="Q22" s="9"/>
      <c r="R22" s="9"/>
      <c r="S22" s="9"/>
      <c r="T22" s="9"/>
      <c r="U22" s="9"/>
      <c r="V22" s="9"/>
      <c r="W22" s="9"/>
      <c r="X22" s="9"/>
      <c r="Y22" s="9"/>
      <c r="Z22" s="9"/>
      <c r="AA22" s="9"/>
      <c r="AB22" s="9"/>
      <c r="AC22" s="9"/>
      <c r="AD22" s="9"/>
    </row>
    <row r="23" spans="1:30" ht="14.25" customHeight="1" x14ac:dyDescent="0.3">
      <c r="A23" s="1"/>
      <c r="B23" s="10" t="s">
        <v>50</v>
      </c>
      <c r="C23" s="11"/>
      <c r="D23" s="11"/>
      <c r="E23" s="11"/>
      <c r="F23" s="11"/>
      <c r="G23" s="11"/>
      <c r="H23" s="11"/>
      <c r="I23" s="11"/>
      <c r="J23" s="1"/>
      <c r="K23" s="1"/>
      <c r="L23" s="9"/>
      <c r="M23" s="9"/>
      <c r="N23" s="9"/>
      <c r="O23" s="9"/>
      <c r="P23" s="9"/>
      <c r="Q23" s="9"/>
      <c r="R23" s="9"/>
      <c r="S23" s="9"/>
      <c r="T23" s="9"/>
      <c r="U23" s="9"/>
      <c r="V23" s="9"/>
      <c r="W23" s="9"/>
      <c r="X23" s="9"/>
      <c r="Y23" s="9"/>
      <c r="Z23" s="9"/>
      <c r="AA23" s="9"/>
      <c r="AB23" s="9"/>
      <c r="AC23" s="9"/>
      <c r="AD23" s="9"/>
    </row>
    <row r="24" spans="1:30" ht="14.25" customHeight="1" x14ac:dyDescent="0.3">
      <c r="A24" s="1"/>
      <c r="B24" s="1"/>
      <c r="C24" s="1"/>
      <c r="D24" s="1"/>
      <c r="E24" s="1"/>
      <c r="F24" s="1"/>
      <c r="G24" s="1"/>
      <c r="H24" s="1"/>
      <c r="I24" s="1"/>
      <c r="J24" s="1"/>
      <c r="K24" s="1"/>
      <c r="L24" s="9"/>
      <c r="M24" s="9"/>
      <c r="N24" s="9"/>
      <c r="O24" s="9"/>
      <c r="P24" s="9"/>
      <c r="Q24" s="9"/>
      <c r="R24" s="9"/>
      <c r="S24" s="9"/>
      <c r="T24" s="9"/>
      <c r="U24" s="9"/>
      <c r="V24" s="9"/>
      <c r="W24" s="9"/>
      <c r="X24" s="9"/>
      <c r="Y24" s="9"/>
      <c r="Z24" s="9"/>
      <c r="AA24" s="9"/>
      <c r="AB24" s="9"/>
      <c r="AC24" s="9"/>
      <c r="AD24" s="9"/>
    </row>
    <row r="25" spans="1:30" ht="14.25" customHeight="1" x14ac:dyDescent="0.3">
      <c r="A25" s="1"/>
      <c r="B25" s="1"/>
      <c r="C25" s="1"/>
      <c r="D25" s="1"/>
      <c r="E25" s="1"/>
      <c r="F25" s="1"/>
      <c r="G25" s="1"/>
      <c r="H25" s="1"/>
      <c r="I25" s="1"/>
      <c r="J25" s="1"/>
      <c r="K25" s="1"/>
      <c r="L25" s="9"/>
      <c r="M25" s="9"/>
      <c r="N25" s="9"/>
      <c r="O25" s="9"/>
      <c r="P25" s="9"/>
      <c r="Q25" s="9"/>
      <c r="R25" s="9"/>
      <c r="S25" s="9"/>
      <c r="T25" s="9"/>
      <c r="U25" s="9"/>
      <c r="V25" s="9"/>
      <c r="W25" s="9"/>
      <c r="X25" s="9"/>
      <c r="Y25" s="9"/>
      <c r="Z25" s="9"/>
      <c r="AA25" s="9"/>
      <c r="AB25" s="9"/>
      <c r="AC25" s="9"/>
      <c r="AD25" s="9"/>
    </row>
    <row r="26" spans="1:30" ht="14.25" customHeight="1" x14ac:dyDescent="0.3">
      <c r="A26" s="1"/>
      <c r="B26" s="1"/>
      <c r="C26" s="1"/>
      <c r="D26" s="1"/>
      <c r="E26" s="1"/>
      <c r="F26" s="1"/>
      <c r="G26" s="1"/>
      <c r="H26" s="1"/>
      <c r="I26" s="1"/>
      <c r="J26" s="1"/>
      <c r="K26" s="1"/>
      <c r="L26" s="9"/>
      <c r="M26" s="9"/>
      <c r="N26" s="9"/>
      <c r="O26" s="9"/>
      <c r="P26" s="9"/>
      <c r="Q26" s="9"/>
      <c r="R26" s="9"/>
      <c r="S26" s="9"/>
      <c r="T26" s="9"/>
      <c r="U26" s="9"/>
      <c r="V26" s="9"/>
      <c r="W26" s="9"/>
      <c r="X26" s="9"/>
      <c r="Y26" s="9"/>
      <c r="Z26" s="9"/>
      <c r="AA26" s="9"/>
      <c r="AB26" s="9"/>
      <c r="AC26" s="9"/>
      <c r="AD26" s="9"/>
    </row>
    <row r="27" spans="1:30" ht="14.25" customHeight="1" x14ac:dyDescent="0.3">
      <c r="A27" s="1"/>
      <c r="B27" s="1"/>
      <c r="C27" s="1"/>
      <c r="D27" s="1"/>
      <c r="E27" s="1"/>
      <c r="F27" s="1"/>
      <c r="G27" s="1"/>
      <c r="H27" s="1"/>
      <c r="I27" s="1"/>
      <c r="J27" s="1"/>
      <c r="K27" s="1"/>
      <c r="L27" s="9"/>
      <c r="M27" s="9"/>
      <c r="N27" s="9"/>
      <c r="O27" s="9"/>
      <c r="P27" s="9"/>
      <c r="Q27" s="9"/>
      <c r="R27" s="9"/>
      <c r="S27" s="9"/>
      <c r="T27" s="9"/>
      <c r="U27" s="9"/>
      <c r="V27" s="9"/>
      <c r="W27" s="9"/>
      <c r="X27" s="9"/>
      <c r="Y27" s="9"/>
      <c r="Z27" s="9"/>
      <c r="AA27" s="9"/>
      <c r="AB27" s="9"/>
      <c r="AC27" s="9"/>
      <c r="AD27" s="9"/>
    </row>
    <row r="28" spans="1:30" ht="14.25" customHeight="1" x14ac:dyDescent="0.3">
      <c r="A28" s="1"/>
      <c r="B28" s="1"/>
      <c r="C28" s="1"/>
      <c r="D28" s="1"/>
      <c r="E28" s="1"/>
      <c r="F28" s="1"/>
      <c r="G28" s="1"/>
      <c r="H28" s="1"/>
      <c r="I28" s="1"/>
      <c r="J28" s="1"/>
      <c r="K28" s="1"/>
      <c r="L28" s="9"/>
      <c r="M28" s="9"/>
      <c r="N28" s="9"/>
      <c r="O28" s="9"/>
      <c r="P28" s="9"/>
      <c r="Q28" s="9"/>
      <c r="R28" s="9"/>
      <c r="S28" s="9"/>
      <c r="T28" s="9"/>
      <c r="U28" s="9"/>
      <c r="V28" s="9"/>
      <c r="W28" s="9"/>
      <c r="X28" s="9"/>
      <c r="Y28" s="9"/>
      <c r="Z28" s="9"/>
      <c r="AA28" s="9"/>
      <c r="AB28" s="9"/>
      <c r="AC28" s="9"/>
      <c r="AD28" s="9"/>
    </row>
    <row r="29" spans="1:30" ht="14.25" customHeight="1" x14ac:dyDescent="0.3">
      <c r="A29" s="1"/>
      <c r="B29" s="1"/>
      <c r="C29" s="1"/>
      <c r="D29" s="1"/>
      <c r="E29" s="1"/>
      <c r="F29" s="1"/>
      <c r="G29" s="1"/>
      <c r="H29" s="1"/>
      <c r="I29" s="1"/>
      <c r="J29" s="1"/>
      <c r="K29" s="1"/>
      <c r="L29" s="9"/>
      <c r="M29" s="9"/>
      <c r="N29" s="9"/>
      <c r="O29" s="9"/>
      <c r="P29" s="9"/>
      <c r="Q29" s="9"/>
      <c r="R29" s="9"/>
      <c r="S29" s="9"/>
      <c r="T29" s="9"/>
      <c r="U29" s="9"/>
      <c r="V29" s="9"/>
      <c r="W29" s="9"/>
      <c r="X29" s="9"/>
      <c r="Y29" s="9"/>
      <c r="Z29" s="9"/>
      <c r="AA29" s="9"/>
      <c r="AB29" s="9"/>
      <c r="AC29" s="9"/>
      <c r="AD29" s="9"/>
    </row>
    <row r="30" spans="1:30" ht="14.25" customHeight="1" x14ac:dyDescent="0.3">
      <c r="A30" s="1"/>
      <c r="B30" s="1"/>
      <c r="C30" s="1"/>
      <c r="D30" s="1"/>
      <c r="E30" s="1"/>
      <c r="F30" s="1"/>
      <c r="G30" s="1"/>
      <c r="H30" s="1"/>
      <c r="I30" s="1"/>
      <c r="J30" s="1"/>
      <c r="K30" s="1"/>
      <c r="L30" s="9"/>
      <c r="M30" s="9"/>
      <c r="N30" s="9"/>
      <c r="O30" s="9"/>
      <c r="P30" s="9"/>
      <c r="Q30" s="9"/>
      <c r="R30" s="9"/>
      <c r="S30" s="9"/>
      <c r="T30" s="9"/>
      <c r="U30" s="9"/>
      <c r="V30" s="9"/>
      <c r="W30" s="9"/>
      <c r="X30" s="9"/>
      <c r="Y30" s="9"/>
      <c r="Z30" s="9"/>
      <c r="AA30" s="9"/>
      <c r="AB30" s="9"/>
      <c r="AC30" s="9"/>
      <c r="AD30" s="9"/>
    </row>
    <row r="31" spans="1:30" ht="14.25" customHeight="1" x14ac:dyDescent="0.3">
      <c r="A31" s="1"/>
      <c r="B31" s="1"/>
      <c r="C31" s="1"/>
      <c r="D31" s="1"/>
      <c r="E31" s="1"/>
      <c r="F31" s="1"/>
      <c r="G31" s="1"/>
      <c r="H31" s="1"/>
      <c r="I31" s="1"/>
      <c r="J31" s="1"/>
      <c r="K31" s="1"/>
      <c r="L31" s="9"/>
      <c r="M31" s="9"/>
      <c r="N31" s="9"/>
      <c r="O31" s="9"/>
      <c r="P31" s="9"/>
      <c r="Q31" s="9"/>
      <c r="R31" s="9"/>
      <c r="S31" s="9"/>
      <c r="T31" s="9"/>
      <c r="U31" s="9"/>
      <c r="V31" s="9"/>
      <c r="W31" s="9"/>
      <c r="X31" s="9"/>
      <c r="Y31" s="9"/>
      <c r="Z31" s="9"/>
      <c r="AA31" s="9"/>
      <c r="AB31" s="9"/>
      <c r="AC31" s="9"/>
      <c r="AD31" s="9"/>
    </row>
    <row r="32" spans="1:30" ht="14.25" customHeight="1" x14ac:dyDescent="0.3">
      <c r="A32" s="1"/>
      <c r="B32" s="1"/>
      <c r="C32" s="1"/>
      <c r="D32" s="1"/>
      <c r="E32" s="1"/>
      <c r="F32" s="1"/>
      <c r="G32" s="1"/>
      <c r="H32" s="1"/>
      <c r="I32" s="1"/>
      <c r="J32" s="1"/>
      <c r="K32" s="1"/>
      <c r="L32" s="9"/>
      <c r="M32" s="9"/>
      <c r="N32" s="9"/>
      <c r="O32" s="9"/>
      <c r="P32" s="9"/>
      <c r="Q32" s="9"/>
      <c r="R32" s="9"/>
      <c r="S32" s="9"/>
      <c r="T32" s="9"/>
      <c r="U32" s="9"/>
      <c r="V32" s="9"/>
      <c r="W32" s="9"/>
      <c r="X32" s="9"/>
      <c r="Y32" s="9"/>
      <c r="Z32" s="9"/>
      <c r="AA32" s="9"/>
      <c r="AB32" s="9"/>
      <c r="AC32" s="9"/>
      <c r="AD32" s="9"/>
    </row>
    <row r="33" spans="1:30" ht="14.25" customHeight="1" x14ac:dyDescent="0.3">
      <c r="A33" s="1"/>
      <c r="B33" s="1"/>
      <c r="C33" s="1"/>
      <c r="D33" s="1"/>
      <c r="E33" s="1"/>
      <c r="F33" s="1"/>
      <c r="G33" s="1"/>
      <c r="H33" s="1"/>
      <c r="I33" s="1"/>
      <c r="J33" s="1"/>
      <c r="K33" s="1"/>
      <c r="L33" s="9"/>
      <c r="M33" s="9"/>
      <c r="N33" s="9"/>
      <c r="O33" s="9"/>
      <c r="P33" s="9"/>
      <c r="Q33" s="9"/>
      <c r="R33" s="9"/>
      <c r="S33" s="9"/>
      <c r="T33" s="9"/>
      <c r="U33" s="9"/>
      <c r="V33" s="9"/>
      <c r="W33" s="9"/>
      <c r="X33" s="9"/>
      <c r="Y33" s="9"/>
      <c r="Z33" s="9"/>
      <c r="AA33" s="9"/>
      <c r="AB33" s="9"/>
      <c r="AC33" s="9"/>
      <c r="AD33" s="9"/>
    </row>
    <row r="34" spans="1:30" ht="14.25" customHeight="1" x14ac:dyDescent="0.3">
      <c r="A34" s="1"/>
      <c r="B34" s="1"/>
      <c r="C34" s="1"/>
      <c r="D34" s="1"/>
      <c r="E34" s="1"/>
      <c r="F34" s="1"/>
      <c r="G34" s="1"/>
      <c r="H34" s="1"/>
      <c r="I34" s="1"/>
      <c r="J34" s="1"/>
      <c r="K34" s="1"/>
      <c r="L34" s="9"/>
      <c r="M34" s="9"/>
      <c r="N34" s="9"/>
      <c r="O34" s="9"/>
      <c r="P34" s="9"/>
      <c r="Q34" s="9"/>
      <c r="R34" s="9"/>
      <c r="S34" s="9"/>
      <c r="T34" s="9"/>
      <c r="U34" s="9"/>
      <c r="V34" s="9"/>
      <c r="W34" s="9"/>
      <c r="X34" s="9"/>
      <c r="Y34" s="9"/>
      <c r="Z34" s="9"/>
      <c r="AA34" s="9"/>
      <c r="AB34" s="9"/>
      <c r="AC34" s="9"/>
      <c r="AD34" s="9"/>
    </row>
    <row r="35" spans="1:30" ht="14.25" customHeight="1" x14ac:dyDescent="0.3">
      <c r="A35" s="1"/>
      <c r="B35" s="1"/>
      <c r="C35" s="1"/>
      <c r="D35" s="1"/>
      <c r="E35" s="1"/>
      <c r="F35" s="1"/>
      <c r="G35" s="1"/>
      <c r="H35" s="1"/>
      <c r="I35" s="1"/>
      <c r="J35" s="1"/>
      <c r="K35" s="1"/>
      <c r="L35" s="9"/>
      <c r="M35" s="9"/>
      <c r="N35" s="9"/>
      <c r="O35" s="9"/>
      <c r="P35" s="9"/>
      <c r="Q35" s="9"/>
      <c r="R35" s="9"/>
      <c r="S35" s="9"/>
      <c r="T35" s="9"/>
      <c r="U35" s="9"/>
      <c r="V35" s="9"/>
      <c r="W35" s="9"/>
      <c r="X35" s="9"/>
      <c r="Y35" s="9"/>
      <c r="Z35" s="9"/>
      <c r="AA35" s="9"/>
      <c r="AB35" s="9"/>
      <c r="AC35" s="9"/>
      <c r="AD35" s="9"/>
    </row>
    <row r="36" spans="1:30" ht="14.25" customHeight="1" x14ac:dyDescent="0.3">
      <c r="A36" s="1"/>
      <c r="B36" s="1"/>
      <c r="C36" s="1"/>
      <c r="D36" s="1"/>
      <c r="E36" s="1"/>
      <c r="F36" s="1"/>
      <c r="G36" s="1"/>
      <c r="H36" s="1"/>
      <c r="I36" s="1"/>
      <c r="J36" s="1"/>
      <c r="K36" s="1"/>
      <c r="L36" s="9"/>
      <c r="M36" s="9"/>
      <c r="N36" s="9"/>
      <c r="O36" s="9"/>
      <c r="P36" s="9"/>
      <c r="Q36" s="9"/>
      <c r="R36" s="9"/>
      <c r="S36" s="9"/>
      <c r="T36" s="9"/>
      <c r="U36" s="9"/>
      <c r="V36" s="9"/>
      <c r="W36" s="9"/>
      <c r="X36" s="9"/>
      <c r="Y36" s="9"/>
      <c r="Z36" s="9"/>
      <c r="AA36" s="9"/>
      <c r="AB36" s="9"/>
      <c r="AC36" s="9"/>
      <c r="AD36" s="9"/>
    </row>
    <row r="37" spans="1:30" ht="14.25" customHeight="1" x14ac:dyDescent="0.3">
      <c r="A37" s="1"/>
      <c r="B37" s="1"/>
      <c r="C37" s="1"/>
      <c r="D37" s="1"/>
      <c r="E37" s="1"/>
      <c r="F37" s="1"/>
      <c r="G37" s="1"/>
      <c r="H37" s="1"/>
      <c r="I37" s="1"/>
      <c r="J37" s="1"/>
      <c r="K37" s="1"/>
      <c r="L37" s="9"/>
      <c r="M37" s="9"/>
      <c r="N37" s="9"/>
      <c r="O37" s="9"/>
      <c r="P37" s="9"/>
      <c r="Q37" s="9"/>
      <c r="R37" s="9"/>
      <c r="S37" s="9"/>
      <c r="T37" s="9"/>
      <c r="U37" s="9"/>
      <c r="V37" s="9"/>
      <c r="W37" s="9"/>
      <c r="X37" s="9"/>
      <c r="Y37" s="9"/>
      <c r="Z37" s="9"/>
      <c r="AA37" s="9"/>
      <c r="AB37" s="9"/>
      <c r="AC37" s="9"/>
      <c r="AD37" s="9"/>
    </row>
    <row r="38" spans="1:30" ht="14.25" customHeight="1" x14ac:dyDescent="0.3">
      <c r="A38" s="1"/>
      <c r="B38" s="1"/>
      <c r="C38" s="1"/>
      <c r="D38" s="1"/>
      <c r="E38" s="1"/>
      <c r="F38" s="1"/>
      <c r="G38" s="1"/>
      <c r="H38" s="1"/>
      <c r="I38" s="1"/>
      <c r="J38" s="1"/>
      <c r="K38" s="1"/>
      <c r="L38" s="9"/>
      <c r="M38" s="9"/>
      <c r="N38" s="9"/>
      <c r="O38" s="9"/>
      <c r="P38" s="9"/>
      <c r="Q38" s="9"/>
      <c r="R38" s="9"/>
      <c r="S38" s="9"/>
      <c r="T38" s="9"/>
      <c r="U38" s="9"/>
      <c r="V38" s="9"/>
      <c r="W38" s="9"/>
      <c r="X38" s="9"/>
      <c r="Y38" s="9"/>
      <c r="Z38" s="9"/>
      <c r="AA38" s="9"/>
      <c r="AB38" s="9"/>
      <c r="AC38" s="9"/>
      <c r="AD38" s="9"/>
    </row>
    <row r="39" spans="1:30" ht="14.25" customHeight="1" x14ac:dyDescent="0.3">
      <c r="A39" s="1"/>
      <c r="B39" s="1"/>
      <c r="C39" s="1"/>
      <c r="D39" s="1"/>
      <c r="E39" s="1"/>
      <c r="F39" s="1"/>
      <c r="G39" s="1"/>
      <c r="H39" s="1"/>
      <c r="I39" s="1"/>
      <c r="J39" s="1"/>
      <c r="K39" s="1"/>
      <c r="L39" s="9"/>
      <c r="M39" s="9"/>
      <c r="N39" s="9"/>
      <c r="O39" s="9"/>
      <c r="P39" s="9"/>
      <c r="Q39" s="9"/>
      <c r="R39" s="9"/>
      <c r="S39" s="9"/>
      <c r="T39" s="9"/>
      <c r="U39" s="9"/>
      <c r="V39" s="9"/>
      <c r="W39" s="9"/>
      <c r="X39" s="9"/>
      <c r="Y39" s="9"/>
      <c r="Z39" s="9"/>
      <c r="AA39" s="9"/>
      <c r="AB39" s="9"/>
      <c r="AC39" s="9"/>
      <c r="AD39" s="9"/>
    </row>
    <row r="40" spans="1:30" ht="14.25" customHeight="1" x14ac:dyDescent="0.3">
      <c r="A40" s="1"/>
      <c r="B40" s="1"/>
      <c r="C40" s="1"/>
      <c r="D40" s="1"/>
      <c r="E40" s="1"/>
      <c r="F40" s="1"/>
      <c r="G40" s="1"/>
      <c r="H40" s="1"/>
      <c r="I40" s="1"/>
      <c r="J40" s="1"/>
      <c r="K40" s="1"/>
      <c r="L40" s="9"/>
      <c r="M40" s="9"/>
      <c r="N40" s="9"/>
      <c r="O40" s="9"/>
      <c r="P40" s="9"/>
      <c r="Q40" s="9"/>
      <c r="R40" s="9"/>
      <c r="S40" s="9"/>
      <c r="T40" s="9"/>
      <c r="U40" s="9"/>
      <c r="V40" s="9"/>
      <c r="W40" s="9"/>
      <c r="X40" s="9"/>
      <c r="Y40" s="9"/>
      <c r="Z40" s="9"/>
      <c r="AA40" s="9"/>
      <c r="AB40" s="9"/>
      <c r="AC40" s="9"/>
      <c r="AD40" s="9"/>
    </row>
    <row r="41" spans="1:30" ht="14.25" customHeight="1" x14ac:dyDescent="0.3">
      <c r="A41" s="1"/>
      <c r="B41" s="1"/>
      <c r="C41" s="1"/>
      <c r="D41" s="1"/>
      <c r="E41" s="1"/>
      <c r="F41" s="1"/>
      <c r="G41" s="1"/>
      <c r="H41" s="1"/>
      <c r="I41" s="1"/>
      <c r="J41" s="1"/>
      <c r="K41" s="1"/>
      <c r="L41" s="9"/>
      <c r="M41" s="9"/>
      <c r="N41" s="9"/>
      <c r="O41" s="9"/>
      <c r="P41" s="9"/>
      <c r="Q41" s="9"/>
      <c r="R41" s="9"/>
      <c r="S41" s="9"/>
      <c r="T41" s="9"/>
      <c r="U41" s="9"/>
      <c r="V41" s="9"/>
      <c r="W41" s="9"/>
      <c r="X41" s="9"/>
      <c r="Y41" s="9"/>
      <c r="Z41" s="9"/>
      <c r="AA41" s="9"/>
      <c r="AB41" s="9"/>
      <c r="AC41" s="9"/>
      <c r="AD41" s="9"/>
    </row>
    <row r="42" spans="1:30" ht="14.25" customHeight="1" x14ac:dyDescent="0.3">
      <c r="A42" s="1"/>
      <c r="B42" s="1"/>
      <c r="C42" s="1"/>
      <c r="D42" s="1"/>
      <c r="E42" s="1"/>
      <c r="F42" s="1"/>
      <c r="G42" s="1"/>
      <c r="H42" s="1"/>
      <c r="I42" s="1"/>
      <c r="J42" s="1"/>
      <c r="K42" s="1"/>
      <c r="L42" s="9"/>
      <c r="M42" s="9"/>
      <c r="N42" s="9"/>
      <c r="O42" s="9"/>
      <c r="P42" s="9"/>
      <c r="Q42" s="9"/>
      <c r="R42" s="9"/>
      <c r="S42" s="9"/>
      <c r="T42" s="9"/>
      <c r="U42" s="9"/>
      <c r="V42" s="9"/>
      <c r="W42" s="9"/>
      <c r="X42" s="9"/>
      <c r="Y42" s="9"/>
      <c r="Z42" s="9"/>
      <c r="AA42" s="9"/>
      <c r="AB42" s="9"/>
      <c r="AC42" s="9"/>
      <c r="AD42" s="9"/>
    </row>
    <row r="43" spans="1:30" ht="14.25" customHeight="1" x14ac:dyDescent="0.3">
      <c r="A43" s="1"/>
      <c r="B43" s="1"/>
      <c r="C43" s="1"/>
      <c r="D43" s="1"/>
      <c r="E43" s="1"/>
      <c r="F43" s="1"/>
      <c r="G43" s="1"/>
      <c r="H43" s="1"/>
      <c r="I43" s="1"/>
      <c r="J43" s="1"/>
      <c r="K43" s="1"/>
      <c r="L43" s="9"/>
      <c r="M43" s="9"/>
      <c r="N43" s="9"/>
      <c r="O43" s="9"/>
      <c r="P43" s="9"/>
      <c r="Q43" s="9"/>
      <c r="R43" s="9"/>
      <c r="S43" s="9"/>
      <c r="T43" s="9"/>
      <c r="U43" s="9"/>
      <c r="V43" s="9"/>
      <c r="W43" s="9"/>
      <c r="X43" s="9"/>
      <c r="Y43" s="9"/>
      <c r="Z43" s="9"/>
      <c r="AA43" s="9"/>
      <c r="AB43" s="9"/>
      <c r="AC43" s="9"/>
      <c r="AD43" s="9"/>
    </row>
    <row r="44" spans="1:30" ht="14.25" customHeight="1" x14ac:dyDescent="0.3">
      <c r="A44" s="1"/>
      <c r="B44" s="1"/>
      <c r="C44" s="1"/>
      <c r="D44" s="1"/>
      <c r="E44" s="1"/>
      <c r="F44" s="1"/>
      <c r="G44" s="1"/>
      <c r="H44" s="1"/>
      <c r="I44" s="1"/>
      <c r="J44" s="1"/>
      <c r="K44" s="1"/>
      <c r="L44" s="9"/>
      <c r="M44" s="9"/>
      <c r="N44" s="9"/>
      <c r="O44" s="9"/>
      <c r="P44" s="9"/>
      <c r="Q44" s="9"/>
      <c r="R44" s="9"/>
      <c r="S44" s="9"/>
      <c r="T44" s="9"/>
      <c r="U44" s="9"/>
      <c r="V44" s="9"/>
      <c r="W44" s="9"/>
      <c r="X44" s="9"/>
      <c r="Y44" s="9"/>
      <c r="Z44" s="9"/>
      <c r="AA44" s="9"/>
      <c r="AB44" s="9"/>
      <c r="AC44" s="9"/>
      <c r="AD44" s="9"/>
    </row>
    <row r="45" spans="1:30" ht="14.25" customHeight="1" x14ac:dyDescent="0.3">
      <c r="A45" s="1"/>
      <c r="B45" s="1"/>
      <c r="C45" s="1"/>
      <c r="D45" s="1"/>
      <c r="E45" s="1"/>
      <c r="F45" s="1"/>
      <c r="G45" s="1"/>
      <c r="H45" s="1"/>
      <c r="I45" s="1"/>
      <c r="J45" s="1"/>
      <c r="K45" s="1"/>
      <c r="L45" s="9"/>
      <c r="M45" s="9"/>
      <c r="N45" s="9"/>
      <c r="O45" s="9"/>
      <c r="P45" s="9"/>
      <c r="Q45" s="9"/>
      <c r="R45" s="9"/>
      <c r="S45" s="9"/>
      <c r="T45" s="9"/>
      <c r="U45" s="9"/>
      <c r="V45" s="9"/>
      <c r="W45" s="9"/>
      <c r="X45" s="9"/>
      <c r="Y45" s="9"/>
      <c r="Z45" s="9"/>
      <c r="AA45" s="9"/>
      <c r="AB45" s="9"/>
      <c r="AC45" s="9"/>
      <c r="AD45" s="9"/>
    </row>
    <row r="46" spans="1:30" ht="14.25" customHeight="1" x14ac:dyDescent="0.3">
      <c r="A46" s="1"/>
      <c r="B46" s="1"/>
      <c r="C46" s="1"/>
      <c r="D46" s="1"/>
      <c r="E46" s="1"/>
      <c r="F46" s="1"/>
      <c r="G46" s="1"/>
      <c r="H46" s="1"/>
      <c r="I46" s="1"/>
      <c r="J46" s="1"/>
      <c r="K46" s="1"/>
      <c r="L46" s="9"/>
      <c r="M46" s="9"/>
      <c r="N46" s="9"/>
      <c r="O46" s="9"/>
      <c r="P46" s="9"/>
      <c r="Q46" s="9"/>
      <c r="R46" s="9"/>
      <c r="S46" s="9"/>
      <c r="T46" s="9"/>
      <c r="U46" s="9"/>
      <c r="V46" s="9"/>
      <c r="W46" s="9"/>
      <c r="X46" s="9"/>
      <c r="Y46" s="9"/>
      <c r="Z46" s="9"/>
      <c r="AA46" s="9"/>
      <c r="AB46" s="9"/>
      <c r="AC46" s="9"/>
      <c r="AD46" s="9"/>
    </row>
    <row r="47" spans="1:30" ht="14.25" customHeight="1" x14ac:dyDescent="0.3">
      <c r="A47" s="1"/>
      <c r="B47" s="1"/>
      <c r="C47" s="1"/>
      <c r="D47" s="1"/>
      <c r="E47" s="1"/>
      <c r="F47" s="1"/>
      <c r="G47" s="1"/>
      <c r="H47" s="1"/>
      <c r="I47" s="1"/>
      <c r="J47" s="1"/>
      <c r="K47" s="1"/>
      <c r="L47" s="9"/>
      <c r="M47" s="9"/>
      <c r="N47" s="9"/>
      <c r="O47" s="9"/>
      <c r="P47" s="9"/>
      <c r="Q47" s="9"/>
      <c r="R47" s="9"/>
      <c r="S47" s="9"/>
      <c r="T47" s="9"/>
      <c r="U47" s="9"/>
      <c r="V47" s="9"/>
      <c r="W47" s="9"/>
      <c r="X47" s="9"/>
      <c r="Y47" s="9"/>
      <c r="Z47" s="9"/>
      <c r="AA47" s="9"/>
      <c r="AB47" s="9"/>
      <c r="AC47" s="9"/>
      <c r="AD47" s="9"/>
    </row>
    <row r="48" spans="1:30" ht="14.25" customHeight="1" x14ac:dyDescent="0.3">
      <c r="A48" s="1"/>
      <c r="B48" s="1"/>
      <c r="C48" s="1"/>
      <c r="D48" s="1"/>
      <c r="E48" s="1"/>
      <c r="F48" s="1"/>
      <c r="G48" s="1"/>
      <c r="H48" s="1"/>
      <c r="I48" s="1"/>
      <c r="J48" s="1"/>
      <c r="K48" s="1"/>
      <c r="L48" s="9"/>
      <c r="M48" s="9"/>
      <c r="N48" s="9"/>
      <c r="O48" s="9"/>
      <c r="P48" s="9"/>
      <c r="Q48" s="9"/>
      <c r="R48" s="9"/>
      <c r="S48" s="9"/>
      <c r="T48" s="9"/>
      <c r="U48" s="9"/>
      <c r="V48" s="9"/>
      <c r="W48" s="9"/>
      <c r="X48" s="9"/>
      <c r="Y48" s="9"/>
      <c r="Z48" s="9"/>
      <c r="AA48" s="9"/>
      <c r="AB48" s="9"/>
      <c r="AC48" s="9"/>
      <c r="AD48" s="9"/>
    </row>
    <row r="49" spans="1:30" ht="14.25" customHeight="1" x14ac:dyDescent="0.3">
      <c r="A49" s="1"/>
      <c r="B49" s="1"/>
      <c r="C49" s="1"/>
      <c r="D49" s="1"/>
      <c r="E49" s="1"/>
      <c r="F49" s="1"/>
      <c r="G49" s="1"/>
      <c r="H49" s="1"/>
      <c r="I49" s="1"/>
      <c r="J49" s="1"/>
      <c r="K49" s="1"/>
      <c r="L49" s="9"/>
      <c r="M49" s="9"/>
      <c r="N49" s="9"/>
      <c r="O49" s="9"/>
      <c r="P49" s="9"/>
      <c r="Q49" s="9"/>
      <c r="R49" s="9"/>
      <c r="S49" s="9"/>
      <c r="T49" s="9"/>
      <c r="U49" s="9"/>
      <c r="V49" s="9"/>
      <c r="W49" s="9"/>
      <c r="X49" s="9"/>
      <c r="Y49" s="9"/>
      <c r="Z49" s="9"/>
      <c r="AA49" s="9"/>
      <c r="AB49" s="9"/>
      <c r="AC49" s="9"/>
      <c r="AD49" s="9"/>
    </row>
    <row r="50" spans="1:30" ht="14.25" customHeight="1" x14ac:dyDescent="0.3">
      <c r="A50" s="1"/>
      <c r="B50" s="1"/>
      <c r="C50" s="1"/>
      <c r="D50" s="1"/>
      <c r="E50" s="1"/>
      <c r="F50" s="1"/>
      <c r="G50" s="1"/>
      <c r="H50" s="1"/>
      <c r="I50" s="1"/>
      <c r="J50" s="1"/>
      <c r="K50" s="1"/>
      <c r="L50" s="9"/>
      <c r="M50" s="9"/>
      <c r="N50" s="9"/>
      <c r="O50" s="9"/>
      <c r="P50" s="9"/>
      <c r="Q50" s="9"/>
      <c r="R50" s="9"/>
      <c r="S50" s="9"/>
      <c r="T50" s="9"/>
      <c r="U50" s="9"/>
      <c r="V50" s="9"/>
      <c r="W50" s="9"/>
      <c r="X50" s="9"/>
      <c r="Y50" s="9"/>
      <c r="Z50" s="9"/>
      <c r="AA50" s="9"/>
      <c r="AB50" s="9"/>
      <c r="AC50" s="9"/>
      <c r="AD50" s="9"/>
    </row>
    <row r="51" spans="1:30" ht="14.25" customHeight="1" x14ac:dyDescent="0.3">
      <c r="A51" s="1"/>
      <c r="B51" s="1"/>
      <c r="C51" s="1"/>
      <c r="D51" s="1"/>
      <c r="E51" s="1"/>
      <c r="F51" s="1"/>
      <c r="G51" s="1"/>
      <c r="H51" s="1"/>
      <c r="I51" s="1"/>
      <c r="J51" s="1"/>
      <c r="K51" s="1"/>
      <c r="L51" s="9"/>
      <c r="M51" s="9"/>
      <c r="N51" s="9"/>
      <c r="O51" s="9"/>
      <c r="P51" s="9"/>
      <c r="Q51" s="9"/>
      <c r="R51" s="9"/>
      <c r="S51" s="9"/>
      <c r="T51" s="9"/>
      <c r="U51" s="9"/>
      <c r="V51" s="9"/>
      <c r="W51" s="9"/>
      <c r="X51" s="9"/>
      <c r="Y51" s="9"/>
      <c r="Z51" s="9"/>
      <c r="AA51" s="9"/>
      <c r="AB51" s="9"/>
      <c r="AC51" s="9"/>
      <c r="AD51" s="9"/>
    </row>
    <row r="52" spans="1:30" ht="14.25" customHeight="1" x14ac:dyDescent="0.3">
      <c r="A52" s="1"/>
      <c r="B52" s="1"/>
      <c r="C52" s="1"/>
      <c r="D52" s="1"/>
      <c r="E52" s="1"/>
      <c r="F52" s="1"/>
      <c r="G52" s="1"/>
      <c r="H52" s="1"/>
      <c r="I52" s="1"/>
      <c r="J52" s="1"/>
      <c r="K52" s="1"/>
      <c r="L52" s="9"/>
      <c r="M52" s="9"/>
      <c r="N52" s="9"/>
      <c r="O52" s="9"/>
      <c r="P52" s="9"/>
      <c r="Q52" s="9"/>
      <c r="R52" s="9"/>
      <c r="S52" s="9"/>
      <c r="T52" s="9"/>
      <c r="U52" s="9"/>
      <c r="V52" s="9"/>
      <c r="W52" s="9"/>
      <c r="X52" s="9"/>
      <c r="Y52" s="9"/>
      <c r="Z52" s="9"/>
      <c r="AA52" s="9"/>
      <c r="AB52" s="9"/>
      <c r="AC52" s="9"/>
      <c r="AD52" s="9"/>
    </row>
    <row r="53" spans="1:30" ht="14.25" customHeight="1" x14ac:dyDescent="0.3">
      <c r="A53" s="1"/>
      <c r="B53" s="1"/>
      <c r="C53" s="1"/>
      <c r="D53" s="1"/>
      <c r="E53" s="1"/>
      <c r="F53" s="1"/>
      <c r="G53" s="1"/>
      <c r="H53" s="1"/>
      <c r="I53" s="1"/>
      <c r="J53" s="1"/>
      <c r="K53" s="1"/>
      <c r="L53" s="9"/>
      <c r="M53" s="9"/>
      <c r="N53" s="9"/>
      <c r="O53" s="9"/>
      <c r="P53" s="9"/>
      <c r="Q53" s="9"/>
      <c r="R53" s="9"/>
      <c r="S53" s="9"/>
      <c r="T53" s="9"/>
      <c r="U53" s="9"/>
      <c r="V53" s="9"/>
      <c r="W53" s="9"/>
      <c r="X53" s="9"/>
      <c r="Y53" s="9"/>
      <c r="Z53" s="9"/>
      <c r="AA53" s="9"/>
      <c r="AB53" s="9"/>
      <c r="AC53" s="9"/>
      <c r="AD53" s="9"/>
    </row>
    <row r="54" spans="1:30" ht="14.25" customHeight="1" x14ac:dyDescent="0.3">
      <c r="A54" s="1"/>
      <c r="B54" s="1"/>
      <c r="C54" s="1"/>
      <c r="D54" s="1"/>
      <c r="E54" s="1"/>
      <c r="F54" s="1"/>
      <c r="G54" s="1"/>
      <c r="H54" s="1"/>
      <c r="I54" s="1"/>
      <c r="J54" s="1"/>
      <c r="K54" s="1"/>
      <c r="L54" s="9"/>
      <c r="M54" s="9"/>
      <c r="N54" s="9"/>
      <c r="O54" s="9"/>
      <c r="P54" s="9"/>
      <c r="Q54" s="9"/>
      <c r="R54" s="9"/>
      <c r="S54" s="9"/>
      <c r="T54" s="9"/>
      <c r="U54" s="9"/>
      <c r="V54" s="9"/>
      <c r="W54" s="9"/>
      <c r="X54" s="9"/>
      <c r="Y54" s="9"/>
      <c r="Z54" s="9"/>
      <c r="AA54" s="9"/>
      <c r="AB54" s="9"/>
      <c r="AC54" s="9"/>
      <c r="AD54" s="9"/>
    </row>
    <row r="55" spans="1:30" ht="14.25" customHeight="1" x14ac:dyDescent="0.3">
      <c r="A55" s="1"/>
      <c r="B55" s="1"/>
      <c r="C55" s="1"/>
      <c r="D55" s="1"/>
      <c r="E55" s="1"/>
      <c r="F55" s="1"/>
      <c r="G55" s="1"/>
      <c r="H55" s="1"/>
      <c r="I55" s="1"/>
      <c r="J55" s="1"/>
      <c r="K55" s="1"/>
      <c r="L55" s="9"/>
      <c r="M55" s="9"/>
      <c r="N55" s="9"/>
      <c r="O55" s="9"/>
      <c r="P55" s="9"/>
      <c r="Q55" s="9"/>
      <c r="R55" s="9"/>
      <c r="S55" s="9"/>
      <c r="T55" s="9"/>
      <c r="U55" s="9"/>
      <c r="V55" s="9"/>
      <c r="W55" s="9"/>
      <c r="X55" s="9"/>
      <c r="Y55" s="9"/>
      <c r="Z55" s="9"/>
      <c r="AA55" s="9"/>
      <c r="AB55" s="9"/>
      <c r="AC55" s="9"/>
      <c r="AD55" s="9"/>
    </row>
    <row r="56" spans="1:30" ht="14.25" customHeight="1" x14ac:dyDescent="0.3">
      <c r="A56" s="1"/>
      <c r="B56" s="1"/>
      <c r="C56" s="1"/>
      <c r="D56" s="1"/>
      <c r="E56" s="1"/>
      <c r="F56" s="1"/>
      <c r="G56" s="1"/>
      <c r="H56" s="1"/>
      <c r="I56" s="1"/>
      <c r="J56" s="1"/>
      <c r="K56" s="1"/>
      <c r="L56" s="9"/>
      <c r="M56" s="9"/>
      <c r="N56" s="9"/>
      <c r="O56" s="9"/>
      <c r="P56" s="9"/>
      <c r="Q56" s="9"/>
      <c r="R56" s="9"/>
      <c r="S56" s="9"/>
      <c r="T56" s="9"/>
      <c r="U56" s="9"/>
      <c r="V56" s="9"/>
      <c r="W56" s="9"/>
      <c r="X56" s="9"/>
      <c r="Y56" s="9"/>
      <c r="Z56" s="9"/>
      <c r="AA56" s="9"/>
      <c r="AB56" s="9"/>
      <c r="AC56" s="9"/>
      <c r="AD56" s="9"/>
    </row>
    <row r="57" spans="1:30" ht="14.25" customHeight="1" x14ac:dyDescent="0.3">
      <c r="A57" s="1"/>
      <c r="B57" s="1"/>
      <c r="C57" s="1"/>
      <c r="D57" s="1"/>
      <c r="E57" s="1"/>
      <c r="F57" s="1"/>
      <c r="G57" s="1"/>
      <c r="H57" s="1"/>
      <c r="I57" s="1"/>
      <c r="J57" s="1"/>
      <c r="K57" s="1"/>
      <c r="L57" s="9"/>
      <c r="M57" s="9"/>
      <c r="N57" s="9"/>
      <c r="O57" s="9"/>
      <c r="P57" s="9"/>
      <c r="Q57" s="9"/>
      <c r="R57" s="9"/>
      <c r="S57" s="9"/>
      <c r="T57" s="9"/>
      <c r="U57" s="9"/>
      <c r="V57" s="9"/>
      <c r="W57" s="9"/>
      <c r="X57" s="9"/>
      <c r="Y57" s="9"/>
      <c r="Z57" s="9"/>
      <c r="AA57" s="9"/>
      <c r="AB57" s="9"/>
      <c r="AC57" s="9"/>
      <c r="AD57" s="9"/>
    </row>
    <row r="58" spans="1:30" ht="14.25" customHeight="1" x14ac:dyDescent="0.3">
      <c r="A58" s="1"/>
      <c r="B58" s="1"/>
      <c r="C58" s="1"/>
      <c r="D58" s="1"/>
      <c r="E58" s="1"/>
      <c r="F58" s="1"/>
      <c r="G58" s="1"/>
      <c r="H58" s="1"/>
      <c r="I58" s="1"/>
      <c r="J58" s="1"/>
      <c r="K58" s="1"/>
      <c r="L58" s="9"/>
      <c r="M58" s="9"/>
      <c r="N58" s="9"/>
      <c r="O58" s="9"/>
      <c r="P58" s="9"/>
      <c r="Q58" s="9"/>
      <c r="R58" s="9"/>
      <c r="S58" s="9"/>
      <c r="T58" s="9"/>
      <c r="U58" s="9"/>
      <c r="V58" s="9"/>
      <c r="W58" s="9"/>
      <c r="X58" s="9"/>
      <c r="Y58" s="9"/>
      <c r="Z58" s="9"/>
      <c r="AA58" s="9"/>
      <c r="AB58" s="9"/>
      <c r="AC58" s="9"/>
      <c r="AD58" s="9"/>
    </row>
    <row r="59" spans="1:30" ht="14.25" customHeight="1" x14ac:dyDescent="0.3">
      <c r="A59" s="1"/>
      <c r="B59" s="1"/>
      <c r="C59" s="1"/>
      <c r="D59" s="1"/>
      <c r="E59" s="1"/>
      <c r="F59" s="1"/>
      <c r="G59" s="1"/>
      <c r="H59" s="1"/>
      <c r="I59" s="1"/>
      <c r="J59" s="1"/>
      <c r="K59" s="1"/>
      <c r="L59" s="9"/>
      <c r="M59" s="9"/>
      <c r="N59" s="9"/>
      <c r="O59" s="9"/>
      <c r="P59" s="9"/>
      <c r="Q59" s="9"/>
      <c r="R59" s="9"/>
      <c r="S59" s="9"/>
      <c r="T59" s="9"/>
      <c r="U59" s="9"/>
      <c r="V59" s="9"/>
      <c r="W59" s="9"/>
      <c r="X59" s="9"/>
      <c r="Y59" s="9"/>
      <c r="Z59" s="9"/>
      <c r="AA59" s="9"/>
      <c r="AB59" s="9"/>
      <c r="AC59" s="9"/>
      <c r="AD59" s="9"/>
    </row>
    <row r="60" spans="1:30" ht="14.25" customHeight="1" x14ac:dyDescent="0.3">
      <c r="A60" s="1"/>
      <c r="B60" s="10" t="s">
        <v>51</v>
      </c>
      <c r="C60" s="11"/>
      <c r="D60" s="11"/>
      <c r="E60" s="11"/>
      <c r="F60" s="11"/>
      <c r="G60" s="11"/>
      <c r="H60" s="11"/>
      <c r="I60" s="11"/>
      <c r="J60" s="1"/>
      <c r="K60" s="1"/>
      <c r="L60" s="9"/>
      <c r="M60" s="9"/>
      <c r="N60" s="9"/>
      <c r="O60" s="9"/>
      <c r="P60" s="9"/>
      <c r="Q60" s="9"/>
      <c r="R60" s="9"/>
      <c r="S60" s="9"/>
      <c r="T60" s="9"/>
      <c r="U60" s="9"/>
      <c r="V60" s="9"/>
      <c r="W60" s="9"/>
      <c r="X60" s="9"/>
      <c r="Y60" s="9"/>
      <c r="Z60" s="9"/>
      <c r="AA60" s="9"/>
      <c r="AB60" s="9"/>
      <c r="AC60" s="9"/>
      <c r="AD60" s="9"/>
    </row>
    <row r="61" spans="1:30" ht="14.25" customHeight="1" x14ac:dyDescent="0.3">
      <c r="A61" s="1"/>
      <c r="B61" s="1"/>
      <c r="C61" s="1"/>
      <c r="D61" s="1"/>
      <c r="E61" s="1"/>
      <c r="F61" s="1"/>
      <c r="G61" s="1"/>
      <c r="H61" s="1"/>
      <c r="I61" s="1"/>
      <c r="J61" s="1"/>
      <c r="K61" s="1"/>
      <c r="L61" s="9"/>
      <c r="M61" s="9"/>
      <c r="N61" s="9"/>
      <c r="O61" s="9"/>
      <c r="P61" s="9"/>
      <c r="Q61" s="9"/>
      <c r="R61" s="9"/>
      <c r="S61" s="9"/>
      <c r="T61" s="9"/>
      <c r="U61" s="9"/>
      <c r="V61" s="9"/>
      <c r="W61" s="9"/>
      <c r="X61" s="9"/>
      <c r="Y61" s="9"/>
      <c r="Z61" s="9"/>
      <c r="AA61" s="9"/>
      <c r="AB61" s="9"/>
      <c r="AC61" s="9"/>
      <c r="AD61" s="9"/>
    </row>
    <row r="62" spans="1:30" ht="14.25" customHeight="1" x14ac:dyDescent="0.3">
      <c r="A62" s="1"/>
      <c r="B62" s="1"/>
      <c r="C62" s="1"/>
      <c r="D62" s="1"/>
      <c r="E62" s="1"/>
      <c r="F62" s="1"/>
      <c r="G62" s="1"/>
      <c r="H62" s="1"/>
      <c r="I62" s="1"/>
      <c r="J62" s="1"/>
      <c r="K62" s="1"/>
      <c r="L62" s="9"/>
      <c r="M62" s="9"/>
      <c r="N62" s="9"/>
      <c r="O62" s="9"/>
      <c r="P62" s="9"/>
      <c r="Q62" s="9"/>
      <c r="R62" s="9"/>
      <c r="S62" s="9"/>
      <c r="T62" s="9"/>
      <c r="U62" s="9"/>
      <c r="V62" s="9"/>
      <c r="W62" s="9"/>
      <c r="X62" s="9"/>
      <c r="Y62" s="9"/>
      <c r="Z62" s="9"/>
      <c r="AA62" s="9"/>
      <c r="AB62" s="9"/>
      <c r="AC62" s="9"/>
      <c r="AD62" s="9"/>
    </row>
    <row r="63" spans="1:30" ht="14.25" customHeight="1" x14ac:dyDescent="0.3">
      <c r="A63" s="1"/>
      <c r="B63" s="1"/>
      <c r="C63" s="1"/>
      <c r="D63" s="1"/>
      <c r="E63" s="1"/>
      <c r="F63" s="1"/>
      <c r="G63" s="1"/>
      <c r="H63" s="1"/>
      <c r="I63" s="1"/>
      <c r="J63" s="1"/>
      <c r="K63" s="1"/>
      <c r="L63" s="9"/>
      <c r="M63" s="9"/>
      <c r="N63" s="9"/>
      <c r="O63" s="9"/>
      <c r="P63" s="9"/>
      <c r="Q63" s="9"/>
      <c r="R63" s="9"/>
      <c r="S63" s="9"/>
      <c r="T63" s="9"/>
      <c r="U63" s="9"/>
      <c r="V63" s="9"/>
      <c r="W63" s="9"/>
      <c r="X63" s="9"/>
      <c r="Y63" s="9"/>
      <c r="Z63" s="9"/>
      <c r="AA63" s="9"/>
      <c r="AB63" s="9"/>
      <c r="AC63" s="9"/>
      <c r="AD63" s="9"/>
    </row>
    <row r="64" spans="1:30" ht="14.25" customHeight="1" x14ac:dyDescent="0.3">
      <c r="A64" s="1"/>
      <c r="B64" s="1"/>
      <c r="C64" s="1"/>
      <c r="D64" s="1"/>
      <c r="E64" s="1"/>
      <c r="F64" s="1"/>
      <c r="G64" s="1"/>
      <c r="H64" s="1"/>
      <c r="I64" s="1"/>
      <c r="J64" s="1"/>
      <c r="K64" s="1"/>
      <c r="L64" s="9"/>
      <c r="M64" s="9"/>
      <c r="N64" s="9"/>
      <c r="O64" s="9"/>
      <c r="P64" s="9"/>
      <c r="Q64" s="9"/>
      <c r="R64" s="9"/>
      <c r="S64" s="9"/>
      <c r="T64" s="9"/>
      <c r="U64" s="9"/>
      <c r="V64" s="9"/>
      <c r="W64" s="9"/>
      <c r="X64" s="9"/>
      <c r="Y64" s="9"/>
      <c r="Z64" s="9"/>
      <c r="AA64" s="9"/>
      <c r="AB64" s="9"/>
      <c r="AC64" s="9"/>
      <c r="AD64" s="9"/>
    </row>
    <row r="65" spans="1:30" ht="14.25" customHeight="1" x14ac:dyDescent="0.3">
      <c r="A65" s="1"/>
      <c r="B65" s="1"/>
      <c r="C65" s="1"/>
      <c r="D65" s="1"/>
      <c r="E65" s="1"/>
      <c r="F65" s="1"/>
      <c r="G65" s="1"/>
      <c r="H65" s="1"/>
      <c r="I65" s="1"/>
      <c r="J65" s="1"/>
      <c r="K65" s="1"/>
      <c r="L65" s="9"/>
      <c r="M65" s="9"/>
      <c r="N65" s="9"/>
      <c r="O65" s="9"/>
      <c r="P65" s="9"/>
      <c r="Q65" s="9"/>
      <c r="R65" s="9"/>
      <c r="S65" s="9"/>
      <c r="T65" s="9"/>
      <c r="U65" s="9"/>
      <c r="V65" s="9"/>
      <c r="W65" s="9"/>
      <c r="X65" s="9"/>
      <c r="Y65" s="9"/>
      <c r="Z65" s="9"/>
      <c r="AA65" s="9"/>
      <c r="AB65" s="9"/>
      <c r="AC65" s="9"/>
      <c r="AD65" s="9"/>
    </row>
    <row r="66" spans="1:30" ht="14.25" customHeight="1" x14ac:dyDescent="0.3">
      <c r="A66" s="1"/>
      <c r="B66" s="1"/>
      <c r="C66" s="1"/>
      <c r="D66" s="1"/>
      <c r="E66" s="1"/>
      <c r="F66" s="1"/>
      <c r="G66" s="1"/>
      <c r="H66" s="1"/>
      <c r="I66" s="1"/>
      <c r="J66" s="1"/>
      <c r="K66" s="1"/>
      <c r="L66" s="9"/>
      <c r="M66" s="9"/>
      <c r="N66" s="9"/>
      <c r="O66" s="9"/>
      <c r="P66" s="9"/>
      <c r="Q66" s="9"/>
      <c r="R66" s="9"/>
      <c r="S66" s="9"/>
      <c r="T66" s="9"/>
      <c r="U66" s="9"/>
      <c r="V66" s="9"/>
      <c r="W66" s="9"/>
      <c r="X66" s="9"/>
      <c r="Y66" s="9"/>
      <c r="Z66" s="9"/>
      <c r="AA66" s="9"/>
      <c r="AB66" s="9"/>
      <c r="AC66" s="9"/>
      <c r="AD66" s="9"/>
    </row>
    <row r="67" spans="1:30" ht="14.25" customHeight="1" x14ac:dyDescent="0.3">
      <c r="A67" s="1"/>
      <c r="B67" s="1"/>
      <c r="C67" s="1"/>
      <c r="D67" s="1"/>
      <c r="E67" s="1"/>
      <c r="F67" s="1"/>
      <c r="G67" s="1"/>
      <c r="H67" s="1"/>
      <c r="I67" s="1"/>
      <c r="J67" s="1"/>
      <c r="K67" s="1"/>
      <c r="L67" s="9"/>
      <c r="M67" s="9"/>
      <c r="N67" s="9"/>
      <c r="O67" s="9"/>
      <c r="P67" s="9"/>
      <c r="Q67" s="9"/>
      <c r="R67" s="9"/>
      <c r="S67" s="9"/>
      <c r="T67" s="9"/>
      <c r="U67" s="9"/>
      <c r="V67" s="9"/>
      <c r="W67" s="9"/>
      <c r="X67" s="9"/>
      <c r="Y67" s="9"/>
      <c r="Z67" s="9"/>
      <c r="AA67" s="9"/>
      <c r="AB67" s="9"/>
      <c r="AC67" s="9"/>
      <c r="AD67" s="9"/>
    </row>
    <row r="68" spans="1:30" ht="14.25" customHeight="1" x14ac:dyDescent="0.3">
      <c r="A68" s="1"/>
      <c r="B68" s="1"/>
      <c r="C68" s="1"/>
      <c r="D68" s="1"/>
      <c r="E68" s="1"/>
      <c r="F68" s="1"/>
      <c r="G68" s="1"/>
      <c r="H68" s="1"/>
      <c r="I68" s="1"/>
      <c r="J68" s="1"/>
      <c r="K68" s="1"/>
      <c r="L68" s="9"/>
      <c r="M68" s="9"/>
      <c r="N68" s="9"/>
      <c r="O68" s="9"/>
      <c r="P68" s="9"/>
      <c r="Q68" s="9"/>
      <c r="R68" s="9"/>
      <c r="S68" s="9"/>
      <c r="T68" s="9"/>
      <c r="U68" s="9"/>
      <c r="V68" s="9"/>
      <c r="W68" s="9"/>
      <c r="X68" s="9"/>
      <c r="Y68" s="9"/>
      <c r="Z68" s="9"/>
      <c r="AA68" s="9"/>
      <c r="AB68" s="9"/>
      <c r="AC68" s="9"/>
      <c r="AD68" s="9"/>
    </row>
    <row r="69" spans="1:30" ht="14.25" customHeight="1" x14ac:dyDescent="0.3">
      <c r="A69" s="1"/>
      <c r="B69" s="1"/>
      <c r="C69" s="1"/>
      <c r="D69" s="1"/>
      <c r="E69" s="1"/>
      <c r="F69" s="1"/>
      <c r="G69" s="1"/>
      <c r="H69" s="1"/>
      <c r="I69" s="1"/>
      <c r="J69" s="1"/>
      <c r="K69" s="1"/>
      <c r="L69" s="9"/>
      <c r="M69" s="9"/>
      <c r="N69" s="9"/>
      <c r="O69" s="9"/>
      <c r="P69" s="9"/>
      <c r="Q69" s="9"/>
      <c r="R69" s="9"/>
      <c r="S69" s="9"/>
      <c r="T69" s="9"/>
      <c r="U69" s="9"/>
      <c r="V69" s="9"/>
      <c r="W69" s="9"/>
      <c r="X69" s="9"/>
      <c r="Y69" s="9"/>
      <c r="Z69" s="9"/>
      <c r="AA69" s="9"/>
      <c r="AB69" s="9"/>
      <c r="AC69" s="9"/>
      <c r="AD69" s="9"/>
    </row>
    <row r="70" spans="1:30" ht="14.25" customHeight="1" x14ac:dyDescent="0.3">
      <c r="A70" s="1"/>
      <c r="B70" s="1"/>
      <c r="C70" s="1"/>
      <c r="D70" s="1"/>
      <c r="E70" s="1"/>
      <c r="F70" s="1"/>
      <c r="G70" s="1"/>
      <c r="H70" s="1"/>
      <c r="I70" s="1"/>
      <c r="J70" s="1"/>
      <c r="K70" s="1"/>
      <c r="L70" s="9"/>
      <c r="M70" s="9"/>
      <c r="N70" s="9"/>
      <c r="O70" s="9"/>
      <c r="P70" s="9"/>
      <c r="Q70" s="9"/>
      <c r="R70" s="9"/>
      <c r="S70" s="9"/>
      <c r="T70" s="9"/>
      <c r="U70" s="9"/>
      <c r="V70" s="9"/>
      <c r="W70" s="9"/>
      <c r="X70" s="9"/>
      <c r="Y70" s="9"/>
      <c r="Z70" s="9"/>
      <c r="AA70" s="9"/>
      <c r="AB70" s="9"/>
      <c r="AC70" s="9"/>
      <c r="AD70" s="9"/>
    </row>
    <row r="71" spans="1:30" ht="14.25" customHeight="1" x14ac:dyDescent="0.3">
      <c r="A71" s="1"/>
      <c r="B71" s="1"/>
      <c r="C71" s="1"/>
      <c r="D71" s="1"/>
      <c r="E71" s="1"/>
      <c r="F71" s="1"/>
      <c r="G71" s="1"/>
      <c r="H71" s="1"/>
      <c r="I71" s="1"/>
      <c r="J71" s="1"/>
      <c r="K71" s="1"/>
      <c r="L71" s="9"/>
      <c r="M71" s="9"/>
      <c r="N71" s="9"/>
      <c r="O71" s="9"/>
      <c r="P71" s="9"/>
      <c r="Q71" s="9"/>
      <c r="R71" s="9"/>
      <c r="S71" s="9"/>
      <c r="T71" s="9"/>
      <c r="U71" s="9"/>
      <c r="V71" s="9"/>
      <c r="W71" s="9"/>
      <c r="X71" s="9"/>
      <c r="Y71" s="9"/>
      <c r="Z71" s="9"/>
      <c r="AA71" s="9"/>
      <c r="AB71" s="9"/>
      <c r="AC71" s="9"/>
      <c r="AD71" s="9"/>
    </row>
    <row r="72" spans="1:30" ht="14.25" customHeight="1" x14ac:dyDescent="0.3">
      <c r="A72" s="1"/>
      <c r="B72" s="1"/>
      <c r="C72" s="1"/>
      <c r="D72" s="1"/>
      <c r="E72" s="1"/>
      <c r="F72" s="1"/>
      <c r="G72" s="1"/>
      <c r="H72" s="1"/>
      <c r="I72" s="1"/>
      <c r="J72" s="1"/>
      <c r="K72" s="1"/>
      <c r="L72" s="9"/>
      <c r="M72" s="9"/>
      <c r="N72" s="9"/>
      <c r="O72" s="9"/>
      <c r="P72" s="9"/>
      <c r="Q72" s="9"/>
      <c r="R72" s="9"/>
      <c r="S72" s="9"/>
      <c r="T72" s="9"/>
      <c r="U72" s="9"/>
      <c r="V72" s="9"/>
      <c r="W72" s="9"/>
      <c r="X72" s="9"/>
      <c r="Y72" s="9"/>
      <c r="Z72" s="9"/>
      <c r="AA72" s="9"/>
      <c r="AB72" s="9"/>
      <c r="AC72" s="9"/>
      <c r="AD72" s="9"/>
    </row>
    <row r="73" spans="1:30" ht="14.25" customHeight="1" x14ac:dyDescent="0.3">
      <c r="A73" s="1"/>
      <c r="B73" s="1"/>
      <c r="C73" s="1"/>
      <c r="D73" s="1"/>
      <c r="E73" s="1"/>
      <c r="F73" s="1"/>
      <c r="G73" s="1"/>
      <c r="H73" s="1"/>
      <c r="I73" s="1"/>
      <c r="J73" s="1"/>
      <c r="K73" s="1"/>
      <c r="L73" s="9"/>
      <c r="M73" s="9"/>
      <c r="N73" s="9"/>
      <c r="O73" s="9"/>
      <c r="P73" s="9"/>
      <c r="Q73" s="9"/>
      <c r="R73" s="9"/>
      <c r="S73" s="9"/>
      <c r="T73" s="9"/>
      <c r="U73" s="9"/>
      <c r="V73" s="9"/>
      <c r="W73" s="9"/>
      <c r="X73" s="9"/>
      <c r="Y73" s="9"/>
      <c r="Z73" s="9"/>
      <c r="AA73" s="9"/>
      <c r="AB73" s="9"/>
      <c r="AC73" s="9"/>
      <c r="AD73" s="9"/>
    </row>
    <row r="74" spans="1:30" ht="14.25" customHeight="1" x14ac:dyDescent="0.3">
      <c r="A74" s="1"/>
      <c r="B74" s="1"/>
      <c r="C74" s="1"/>
      <c r="D74" s="1"/>
      <c r="E74" s="1"/>
      <c r="F74" s="1"/>
      <c r="G74" s="1"/>
      <c r="H74" s="1"/>
      <c r="I74" s="1"/>
      <c r="J74" s="1"/>
      <c r="K74" s="1"/>
      <c r="L74" s="9"/>
      <c r="M74" s="9"/>
      <c r="N74" s="9"/>
      <c r="O74" s="9"/>
      <c r="P74" s="9"/>
      <c r="Q74" s="9"/>
      <c r="R74" s="9"/>
      <c r="S74" s="9"/>
      <c r="T74" s="9"/>
      <c r="U74" s="9"/>
      <c r="V74" s="9"/>
      <c r="W74" s="9"/>
      <c r="X74" s="9"/>
      <c r="Y74" s="9"/>
      <c r="Z74" s="9"/>
      <c r="AA74" s="9"/>
      <c r="AB74" s="9"/>
      <c r="AC74" s="9"/>
      <c r="AD74" s="9"/>
    </row>
    <row r="75" spans="1:30" ht="14.25" customHeight="1" x14ac:dyDescent="0.3">
      <c r="A75" s="1"/>
      <c r="B75" s="1"/>
      <c r="C75" s="1"/>
      <c r="D75" s="1"/>
      <c r="E75" s="1"/>
      <c r="F75" s="1"/>
      <c r="G75" s="1"/>
      <c r="H75" s="1"/>
      <c r="I75" s="1"/>
      <c r="J75" s="1"/>
      <c r="K75" s="1"/>
      <c r="L75" s="9"/>
      <c r="M75" s="9"/>
      <c r="N75" s="9"/>
      <c r="O75" s="9"/>
      <c r="P75" s="9"/>
      <c r="Q75" s="9"/>
      <c r="R75" s="9"/>
      <c r="S75" s="9"/>
      <c r="T75" s="9"/>
      <c r="U75" s="9"/>
      <c r="V75" s="9"/>
      <c r="W75" s="9"/>
      <c r="X75" s="9"/>
      <c r="Y75" s="9"/>
      <c r="Z75" s="9"/>
      <c r="AA75" s="9"/>
      <c r="AB75" s="9"/>
      <c r="AC75" s="9"/>
      <c r="AD75" s="9"/>
    </row>
    <row r="76" spans="1:30" ht="14.25" customHeight="1" x14ac:dyDescent="0.3">
      <c r="A76" s="1"/>
      <c r="B76" s="1"/>
      <c r="C76" s="1"/>
      <c r="D76" s="1"/>
      <c r="E76" s="1"/>
      <c r="F76" s="1"/>
      <c r="G76" s="1"/>
      <c r="H76" s="1"/>
      <c r="I76" s="1"/>
      <c r="J76" s="1"/>
      <c r="K76" s="1"/>
      <c r="L76" s="9"/>
      <c r="M76" s="9"/>
      <c r="N76" s="9"/>
      <c r="O76" s="9"/>
      <c r="P76" s="9"/>
      <c r="Q76" s="9"/>
      <c r="R76" s="9"/>
      <c r="S76" s="9"/>
      <c r="T76" s="9"/>
      <c r="U76" s="9"/>
      <c r="V76" s="9"/>
      <c r="W76" s="9"/>
      <c r="X76" s="9"/>
      <c r="Y76" s="9"/>
      <c r="Z76" s="9"/>
      <c r="AA76" s="9"/>
      <c r="AB76" s="9"/>
      <c r="AC76" s="9"/>
      <c r="AD76" s="9"/>
    </row>
    <row r="77" spans="1:30" ht="14.25" customHeight="1" x14ac:dyDescent="0.3">
      <c r="A77" s="1"/>
      <c r="B77" s="1"/>
      <c r="C77" s="1"/>
      <c r="D77" s="1"/>
      <c r="E77" s="1"/>
      <c r="F77" s="1"/>
      <c r="G77" s="1"/>
      <c r="H77" s="1"/>
      <c r="I77" s="1"/>
      <c r="J77" s="1"/>
      <c r="K77" s="1"/>
      <c r="L77" s="9"/>
      <c r="M77" s="9"/>
      <c r="N77" s="9"/>
      <c r="O77" s="9"/>
      <c r="P77" s="9"/>
      <c r="Q77" s="9"/>
      <c r="R77" s="9"/>
      <c r="S77" s="9"/>
      <c r="T77" s="9"/>
      <c r="U77" s="9"/>
      <c r="V77" s="9"/>
      <c r="W77" s="9"/>
      <c r="X77" s="9"/>
      <c r="Y77" s="9"/>
      <c r="Z77" s="9"/>
      <c r="AA77" s="9"/>
      <c r="AB77" s="9"/>
      <c r="AC77" s="9"/>
      <c r="AD77" s="9"/>
    </row>
    <row r="78" spans="1:30" ht="14.25" customHeight="1" x14ac:dyDescent="0.3">
      <c r="A78" s="1"/>
      <c r="B78" s="1"/>
      <c r="C78" s="1"/>
      <c r="D78" s="1"/>
      <c r="E78" s="1"/>
      <c r="F78" s="1"/>
      <c r="G78" s="1"/>
      <c r="H78" s="1"/>
      <c r="I78" s="1"/>
      <c r="J78" s="1"/>
      <c r="K78" s="1"/>
      <c r="L78" s="9"/>
      <c r="M78" s="9"/>
      <c r="N78" s="9"/>
      <c r="O78" s="9"/>
      <c r="P78" s="9"/>
      <c r="Q78" s="9"/>
      <c r="R78" s="9"/>
      <c r="S78" s="9"/>
      <c r="T78" s="9"/>
      <c r="U78" s="9"/>
      <c r="V78" s="9"/>
      <c r="W78" s="9"/>
      <c r="X78" s="9"/>
      <c r="Y78" s="9"/>
      <c r="Z78" s="9"/>
      <c r="AA78" s="9"/>
      <c r="AB78" s="9"/>
      <c r="AC78" s="9"/>
      <c r="AD78" s="9"/>
    </row>
    <row r="79" spans="1:30" ht="14.25" customHeight="1" x14ac:dyDescent="0.3">
      <c r="A79" s="1"/>
      <c r="B79" s="1"/>
      <c r="C79" s="1"/>
      <c r="D79" s="1"/>
      <c r="E79" s="1"/>
      <c r="F79" s="1"/>
      <c r="G79" s="1"/>
      <c r="H79" s="1"/>
      <c r="I79" s="1"/>
      <c r="J79" s="1"/>
      <c r="K79" s="1"/>
      <c r="L79" s="9"/>
      <c r="M79" s="9"/>
      <c r="N79" s="9"/>
      <c r="O79" s="9"/>
      <c r="P79" s="9"/>
      <c r="Q79" s="9"/>
      <c r="R79" s="9"/>
      <c r="S79" s="9"/>
      <c r="T79" s="9"/>
      <c r="U79" s="9"/>
      <c r="V79" s="9"/>
      <c r="W79" s="9"/>
      <c r="X79" s="9"/>
      <c r="Y79" s="9"/>
      <c r="Z79" s="9"/>
      <c r="AA79" s="9"/>
      <c r="AB79" s="9"/>
      <c r="AC79" s="9"/>
      <c r="AD79" s="9"/>
    </row>
    <row r="80" spans="1:30" ht="14.25" customHeight="1" x14ac:dyDescent="0.3">
      <c r="A80" s="1"/>
      <c r="B80" s="10" t="s">
        <v>52</v>
      </c>
      <c r="C80" s="11"/>
      <c r="D80" s="11"/>
      <c r="E80" s="11"/>
      <c r="F80" s="11"/>
      <c r="G80" s="11"/>
      <c r="H80" s="11"/>
      <c r="I80" s="11"/>
      <c r="J80" s="1"/>
      <c r="K80" s="1"/>
      <c r="L80" s="9"/>
      <c r="M80" s="9"/>
      <c r="N80" s="9"/>
      <c r="O80" s="9"/>
      <c r="P80" s="9"/>
      <c r="Q80" s="9"/>
      <c r="R80" s="9"/>
      <c r="S80" s="9"/>
      <c r="T80" s="9"/>
      <c r="U80" s="9"/>
      <c r="V80" s="9"/>
      <c r="W80" s="9"/>
      <c r="X80" s="9"/>
      <c r="Y80" s="9"/>
      <c r="Z80" s="9"/>
      <c r="AA80" s="9"/>
      <c r="AB80" s="9"/>
      <c r="AC80" s="9"/>
      <c r="AD80" s="9"/>
    </row>
    <row r="81" spans="1:30" ht="14.25" customHeight="1" x14ac:dyDescent="0.3">
      <c r="A81" s="1"/>
      <c r="B81" s="20" t="s">
        <v>53</v>
      </c>
      <c r="C81" s="21">
        <f>Assumptions!C87*Assumptions!C35</f>
        <v>1350</v>
      </c>
      <c r="D81" s="1"/>
      <c r="E81" s="1"/>
      <c r="F81" s="1"/>
      <c r="G81" s="1"/>
      <c r="H81" s="1"/>
      <c r="I81" s="1"/>
      <c r="J81" s="1"/>
      <c r="K81" s="1"/>
      <c r="L81" s="9"/>
      <c r="M81" s="9"/>
      <c r="N81" s="9"/>
      <c r="O81" s="9"/>
      <c r="P81" s="9"/>
      <c r="Q81" s="9"/>
      <c r="R81" s="9"/>
      <c r="S81" s="9"/>
      <c r="T81" s="9"/>
      <c r="U81" s="9"/>
      <c r="V81" s="9"/>
      <c r="W81" s="9"/>
      <c r="X81" s="9"/>
      <c r="Y81" s="9"/>
      <c r="Z81" s="9"/>
      <c r="AA81" s="9"/>
      <c r="AB81" s="9"/>
      <c r="AC81" s="9"/>
      <c r="AD81" s="9"/>
    </row>
    <row r="82" spans="1:30" ht="14.25" customHeight="1" x14ac:dyDescent="0.3">
      <c r="A82" s="1"/>
      <c r="B82" s="20" t="s">
        <v>54</v>
      </c>
      <c r="C82" s="21">
        <f>Assumptions!C89</f>
        <v>900</v>
      </c>
      <c r="D82" s="1"/>
      <c r="E82" s="1"/>
      <c r="F82" s="1"/>
      <c r="G82" s="1"/>
      <c r="H82" s="1"/>
      <c r="I82" s="1"/>
      <c r="J82" s="1"/>
      <c r="K82" s="1"/>
      <c r="L82" s="9"/>
      <c r="M82" s="9"/>
      <c r="N82" s="9"/>
      <c r="O82" s="9"/>
      <c r="P82" s="9"/>
      <c r="Q82" s="9"/>
      <c r="R82" s="9"/>
      <c r="S82" s="9"/>
      <c r="T82" s="9"/>
      <c r="U82" s="9"/>
      <c r="V82" s="9"/>
      <c r="W82" s="9"/>
      <c r="X82" s="9"/>
      <c r="Y82" s="9"/>
      <c r="Z82" s="9"/>
      <c r="AA82" s="9"/>
      <c r="AB82" s="9"/>
      <c r="AC82" s="9"/>
      <c r="AD82" s="9"/>
    </row>
    <row r="83" spans="1:30" ht="14.25" customHeight="1" x14ac:dyDescent="0.3">
      <c r="A83" s="1"/>
      <c r="B83" s="20"/>
      <c r="C83" s="21"/>
      <c r="D83" s="1"/>
      <c r="E83" s="1"/>
      <c r="F83" s="1"/>
      <c r="G83" s="1"/>
      <c r="H83" s="1"/>
      <c r="I83" s="1"/>
      <c r="J83" s="1"/>
      <c r="K83" s="1"/>
      <c r="L83" s="9"/>
      <c r="M83" s="9"/>
      <c r="N83" s="9"/>
      <c r="O83" s="9"/>
      <c r="P83" s="9"/>
      <c r="Q83" s="9"/>
      <c r="R83" s="9"/>
      <c r="S83" s="9"/>
      <c r="T83" s="9"/>
      <c r="U83" s="9"/>
      <c r="V83" s="9"/>
      <c r="W83" s="9"/>
      <c r="X83" s="9"/>
      <c r="Y83" s="9"/>
      <c r="Z83" s="9"/>
      <c r="AA83" s="9"/>
      <c r="AB83" s="9"/>
      <c r="AC83" s="9"/>
      <c r="AD83" s="9"/>
    </row>
    <row r="84" spans="1:30" ht="14.25" customHeight="1" x14ac:dyDescent="0.3">
      <c r="A84" s="1"/>
      <c r="B84" s="10" t="s">
        <v>55</v>
      </c>
      <c r="C84" s="11"/>
      <c r="D84" s="11"/>
      <c r="E84" s="11"/>
      <c r="F84" s="11"/>
      <c r="G84" s="11"/>
      <c r="H84" s="11"/>
      <c r="I84" s="11"/>
      <c r="J84" s="1"/>
      <c r="K84" s="1"/>
      <c r="L84" s="9"/>
      <c r="M84" s="9"/>
      <c r="N84" s="9"/>
      <c r="O84" s="9"/>
      <c r="P84" s="9"/>
      <c r="Q84" s="9"/>
      <c r="R84" s="9"/>
      <c r="S84" s="9"/>
      <c r="T84" s="9"/>
      <c r="U84" s="9"/>
      <c r="V84" s="9"/>
      <c r="W84" s="9"/>
      <c r="X84" s="9"/>
      <c r="Y84" s="9"/>
      <c r="Z84" s="9"/>
      <c r="AA84" s="9"/>
      <c r="AB84" s="9"/>
      <c r="AC84" s="9"/>
      <c r="AD84" s="9"/>
    </row>
    <row r="85" spans="1:30" ht="3" customHeight="1" x14ac:dyDescent="0.3">
      <c r="A85" s="1"/>
      <c r="B85" s="1"/>
      <c r="C85" s="1"/>
      <c r="D85" s="1"/>
      <c r="E85" s="1"/>
      <c r="F85" s="1"/>
      <c r="G85" s="1"/>
      <c r="H85" s="1"/>
      <c r="I85" s="1"/>
      <c r="J85" s="1"/>
      <c r="K85" s="1"/>
      <c r="L85" s="9"/>
      <c r="M85" s="9"/>
      <c r="N85" s="9"/>
      <c r="O85" s="9"/>
      <c r="P85" s="9"/>
      <c r="Q85" s="9"/>
      <c r="R85" s="9"/>
      <c r="S85" s="9"/>
      <c r="T85" s="9"/>
      <c r="U85" s="9"/>
      <c r="V85" s="9"/>
      <c r="W85" s="9"/>
      <c r="X85" s="9"/>
      <c r="Y85" s="9"/>
      <c r="Z85" s="9"/>
      <c r="AA85" s="9"/>
      <c r="AB85" s="9"/>
      <c r="AC85" s="9"/>
      <c r="AD85" s="9"/>
    </row>
    <row r="86" spans="1:30" ht="14.25" customHeight="1" x14ac:dyDescent="0.3">
      <c r="A86" s="1"/>
      <c r="B86" s="20" t="s">
        <v>46</v>
      </c>
      <c r="C86" s="22">
        <f>0</f>
        <v>0</v>
      </c>
      <c r="D86" s="22">
        <f>Standalone_IS!C21</f>
        <v>22.597727272727273</v>
      </c>
      <c r="E86" s="1"/>
      <c r="F86" s="1"/>
      <c r="G86" s="1"/>
      <c r="H86" s="1"/>
      <c r="I86" s="1"/>
      <c r="J86" s="1"/>
      <c r="K86" s="1"/>
      <c r="L86" s="9"/>
      <c r="M86" s="9"/>
      <c r="N86" s="9"/>
      <c r="O86" s="9"/>
      <c r="P86" s="9"/>
      <c r="Q86" s="9"/>
      <c r="R86" s="9"/>
      <c r="S86" s="9"/>
      <c r="T86" s="9"/>
      <c r="U86" s="9"/>
      <c r="V86" s="9"/>
      <c r="W86" s="9"/>
      <c r="X86" s="9"/>
      <c r="Y86" s="9"/>
      <c r="Z86" s="9"/>
      <c r="AA86" s="9"/>
      <c r="AB86" s="9"/>
      <c r="AC86" s="9"/>
      <c r="AD86" s="9"/>
    </row>
    <row r="87" spans="1:30" ht="14.25" customHeight="1" x14ac:dyDescent="0.3">
      <c r="A87" s="1"/>
      <c r="B87" s="20" t="s">
        <v>56</v>
      </c>
      <c r="C87" s="22">
        <f>Standalone_IS!C21</f>
        <v>22.597727272727273</v>
      </c>
      <c r="D87" s="22">
        <f>Accretion_Dilution!C33</f>
        <v>0.13540662650602409</v>
      </c>
      <c r="E87" s="1"/>
      <c r="F87" s="1"/>
      <c r="G87" s="1"/>
      <c r="H87" s="1"/>
      <c r="I87" s="1"/>
      <c r="J87" s="1"/>
      <c r="K87" s="1"/>
      <c r="L87" s="9"/>
      <c r="M87" s="9"/>
      <c r="N87" s="9"/>
      <c r="O87" s="9"/>
      <c r="P87" s="9"/>
      <c r="Q87" s="9"/>
      <c r="R87" s="9"/>
      <c r="S87" s="9"/>
      <c r="T87" s="9"/>
      <c r="U87" s="9"/>
      <c r="V87" s="9"/>
      <c r="W87" s="9"/>
      <c r="X87" s="9"/>
      <c r="Y87" s="9"/>
      <c r="Z87" s="9"/>
      <c r="AA87" s="9"/>
      <c r="AB87" s="9"/>
      <c r="AC87" s="9"/>
      <c r="AD87" s="9"/>
    </row>
    <row r="88" spans="1:30" ht="14.25" customHeight="1" x14ac:dyDescent="0.3">
      <c r="A88" s="1"/>
      <c r="B88" s="20" t="s">
        <v>57</v>
      </c>
      <c r="C88" s="22">
        <f>Standalone_IS!C21+Accretion_Dilution!C33</f>
        <v>22.733133899233298</v>
      </c>
      <c r="D88" s="22">
        <f>(Accretion_Dilution!C34+Accretion_Dilution!C35)</f>
        <v>0.10730421686746988</v>
      </c>
      <c r="E88" s="1"/>
      <c r="F88" s="1"/>
      <c r="G88" s="1"/>
      <c r="H88" s="1"/>
      <c r="I88" s="1"/>
      <c r="J88" s="1"/>
      <c r="K88" s="1"/>
      <c r="L88" s="9"/>
      <c r="M88" s="9"/>
      <c r="N88" s="9"/>
      <c r="O88" s="9"/>
      <c r="P88" s="9"/>
      <c r="Q88" s="9"/>
      <c r="R88" s="9"/>
      <c r="S88" s="9"/>
      <c r="T88" s="9"/>
      <c r="U88" s="9"/>
      <c r="V88" s="9"/>
      <c r="W88" s="9"/>
      <c r="X88" s="9"/>
      <c r="Y88" s="9"/>
      <c r="Z88" s="9"/>
      <c r="AA88" s="9"/>
      <c r="AB88" s="9"/>
      <c r="AC88" s="9"/>
      <c r="AD88" s="9"/>
    </row>
    <row r="89" spans="1:30" ht="14.25" customHeight="1" x14ac:dyDescent="0.3">
      <c r="A89" s="1"/>
      <c r="B89" s="20" t="s">
        <v>58</v>
      </c>
      <c r="C89" s="22">
        <f>Standalone_IS!C21+Accretion_Dilution!C33+(Accretion_Dilution!C34+Accretion_Dilution!C35)+Accretion_Dilution!C36</f>
        <v>22.671010405257395</v>
      </c>
      <c r="D89" s="22">
        <f>-Accretion_Dilution!C36</f>
        <v>0.16942771084337349</v>
      </c>
      <c r="E89" s="1"/>
      <c r="F89" s="1"/>
      <c r="G89" s="1"/>
      <c r="H89" s="1"/>
      <c r="I89" s="1"/>
      <c r="J89" s="1"/>
      <c r="K89" s="1"/>
      <c r="L89" s="9"/>
      <c r="M89" s="9"/>
      <c r="N89" s="9"/>
      <c r="O89" s="9"/>
      <c r="P89" s="9"/>
      <c r="Q89" s="9"/>
      <c r="R89" s="9"/>
      <c r="S89" s="9"/>
      <c r="T89" s="9"/>
      <c r="U89" s="9"/>
      <c r="V89" s="9"/>
      <c r="W89" s="9"/>
      <c r="X89" s="9"/>
      <c r="Y89" s="9"/>
      <c r="Z89" s="9"/>
      <c r="AA89" s="9"/>
      <c r="AB89" s="9"/>
      <c r="AC89" s="9"/>
      <c r="AD89" s="9"/>
    </row>
    <row r="90" spans="1:30" ht="14.25" customHeight="1" x14ac:dyDescent="0.3">
      <c r="A90" s="1"/>
      <c r="B90" s="20" t="s">
        <v>59</v>
      </c>
      <c r="C90" s="22">
        <f>Standalone_IS!C21+Accretion_Dilution!C33+(Accretion_Dilution!C34+Accretion_Dilution!C35)+Accretion_Dilution!C36+(Accretion_Dilution!C39+Accretion_Dilution!C40)</f>
        <v>22.573702423329685</v>
      </c>
      <c r="D90" s="22">
        <f>-(Accretion_Dilution!C39+Accretion_Dilution!C40)</f>
        <v>9.730798192771084E-2</v>
      </c>
      <c r="E90" s="1"/>
      <c r="F90" s="1"/>
      <c r="G90" s="1"/>
      <c r="H90" s="1"/>
      <c r="I90" s="1"/>
      <c r="J90" s="1"/>
      <c r="K90" s="1"/>
      <c r="L90" s="9"/>
      <c r="M90" s="9"/>
      <c r="N90" s="9"/>
      <c r="O90" s="9"/>
      <c r="P90" s="9"/>
      <c r="Q90" s="9"/>
      <c r="R90" s="9"/>
      <c r="S90" s="9"/>
      <c r="T90" s="9"/>
      <c r="U90" s="9"/>
      <c r="V90" s="9"/>
      <c r="W90" s="9"/>
      <c r="X90" s="9"/>
      <c r="Y90" s="9"/>
      <c r="Z90" s="9"/>
      <c r="AA90" s="9"/>
      <c r="AB90" s="9"/>
      <c r="AC90" s="9"/>
      <c r="AD90" s="9"/>
    </row>
    <row r="91" spans="1:30" ht="14.25" customHeight="1" x14ac:dyDescent="0.3">
      <c r="A91" s="1"/>
      <c r="B91" s="20" t="s">
        <v>60</v>
      </c>
      <c r="C91" s="22">
        <f>Standalone_IS!C21+Accretion_Dilution!C33+(Accretion_Dilution!C34+Accretion_Dilution!C35)+Accretion_Dilution!C36+(Accretion_Dilution!C39+Accretion_Dilution!C40)+(Accretion_Dilution!C37+Accretion_Dilution!C38)</f>
        <v>22.497459953450168</v>
      </c>
      <c r="D91" s="22">
        <f>-(Accretion_Dilution!C37+Accretion_Dilution!C38)</f>
        <v>7.6242469879518077E-2</v>
      </c>
      <c r="E91" s="1"/>
      <c r="F91" s="1"/>
      <c r="G91" s="1"/>
      <c r="H91" s="1"/>
      <c r="I91" s="1"/>
      <c r="J91" s="1"/>
      <c r="K91" s="1"/>
      <c r="L91" s="9"/>
      <c r="M91" s="9"/>
      <c r="N91" s="9"/>
      <c r="O91" s="9"/>
      <c r="P91" s="9"/>
      <c r="Q91" s="9"/>
      <c r="R91" s="9"/>
      <c r="S91" s="9"/>
      <c r="T91" s="9"/>
      <c r="U91" s="9"/>
      <c r="V91" s="9"/>
      <c r="W91" s="9"/>
      <c r="X91" s="9"/>
      <c r="Y91" s="9"/>
      <c r="Z91" s="9"/>
      <c r="AA91" s="9"/>
      <c r="AB91" s="9"/>
      <c r="AC91" s="9"/>
      <c r="AD91" s="9"/>
    </row>
    <row r="92" spans="1:30" ht="14.25" customHeight="1" x14ac:dyDescent="0.3">
      <c r="A92" s="1"/>
      <c r="B92" s="20" t="s">
        <v>61</v>
      </c>
      <c r="C92" s="22">
        <f>Standalone_IS!C21+Accretion_Dilution!C33+(Accretion_Dilution!C34+Accretion_Dilution!C35)+Accretion_Dilution!C36+(Accretion_Dilution!C39+Accretion_Dilution!C40)+(Accretion_Dilution!C37+Accretion_Dilution!C38)+(Accretion_Dilution!C41+Accretion_Dilution!C42)</f>
        <v>22.334486631591304</v>
      </c>
      <c r="D92" s="22">
        <f>-(Accretion_Dilution!C41+Accretion_Dilution!C42)</f>
        <v>0.16297332185886401</v>
      </c>
      <c r="E92" s="1"/>
      <c r="F92" s="1"/>
      <c r="G92" s="1"/>
      <c r="H92" s="1"/>
      <c r="I92" s="1"/>
      <c r="J92" s="1"/>
      <c r="K92" s="1"/>
      <c r="L92" s="9"/>
      <c r="M92" s="9"/>
      <c r="N92" s="9"/>
      <c r="O92" s="9"/>
      <c r="P92" s="9"/>
      <c r="Q92" s="9"/>
      <c r="R92" s="9"/>
      <c r="S92" s="9"/>
      <c r="T92" s="9"/>
      <c r="U92" s="9"/>
      <c r="V92" s="9"/>
      <c r="W92" s="9"/>
      <c r="X92" s="9"/>
      <c r="Y92" s="9"/>
      <c r="Z92" s="9"/>
      <c r="AA92" s="9"/>
      <c r="AB92" s="9"/>
      <c r="AC92" s="9"/>
      <c r="AD92" s="9"/>
    </row>
    <row r="93" spans="1:30" ht="14.25" customHeight="1" x14ac:dyDescent="0.3">
      <c r="A93" s="1"/>
      <c r="B93" s="20" t="s">
        <v>62</v>
      </c>
      <c r="C93" s="22">
        <f>Pro_Forma_IS!C50</f>
        <v>22.198355744406189</v>
      </c>
      <c r="D93" s="22">
        <f>-Accretion_Dilution!C43</f>
        <v>0.13613088718510369</v>
      </c>
      <c r="E93" s="1"/>
      <c r="F93" s="1"/>
      <c r="G93" s="1"/>
      <c r="H93" s="1"/>
      <c r="I93" s="1"/>
      <c r="J93" s="1"/>
      <c r="K93" s="1"/>
      <c r="L93" s="9"/>
      <c r="M93" s="9"/>
      <c r="N93" s="9"/>
      <c r="O93" s="9"/>
      <c r="P93" s="9"/>
      <c r="Q93" s="9"/>
      <c r="R93" s="9"/>
      <c r="S93" s="9"/>
      <c r="T93" s="9"/>
      <c r="U93" s="9"/>
      <c r="V93" s="9"/>
      <c r="W93" s="9"/>
      <c r="X93" s="9"/>
      <c r="Y93" s="9"/>
      <c r="Z93" s="9"/>
      <c r="AA93" s="9"/>
      <c r="AB93" s="9"/>
      <c r="AC93" s="9"/>
      <c r="AD93" s="9"/>
    </row>
    <row r="94" spans="1:30" ht="14.25" customHeight="1" x14ac:dyDescent="0.3">
      <c r="A94" s="1"/>
      <c r="B94" s="20" t="s">
        <v>47</v>
      </c>
      <c r="C94" s="22">
        <f>0</f>
        <v>0</v>
      </c>
      <c r="D94" s="22">
        <f>Pro_Forma_IS!C50</f>
        <v>22.198355744406189</v>
      </c>
      <c r="E94" s="1"/>
      <c r="F94" s="1"/>
      <c r="G94" s="1"/>
      <c r="H94" s="1"/>
      <c r="I94" s="1"/>
      <c r="J94" s="1"/>
      <c r="K94" s="1"/>
      <c r="L94" s="9"/>
      <c r="M94" s="9"/>
      <c r="N94" s="9"/>
      <c r="O94" s="9"/>
      <c r="P94" s="9"/>
      <c r="Q94" s="9"/>
      <c r="R94" s="9"/>
      <c r="S94" s="9"/>
      <c r="T94" s="9"/>
      <c r="U94" s="9"/>
      <c r="V94" s="9"/>
      <c r="W94" s="9"/>
      <c r="X94" s="9"/>
      <c r="Y94" s="9"/>
      <c r="Z94" s="9"/>
      <c r="AA94" s="9"/>
      <c r="AB94" s="9"/>
      <c r="AC94" s="9"/>
      <c r="AD94" s="9"/>
    </row>
    <row r="95" spans="1:30" ht="14.25" customHeight="1" x14ac:dyDescent="0.3">
      <c r="A95" s="1"/>
      <c r="B95" s="1"/>
      <c r="C95" s="1"/>
      <c r="D95" s="1"/>
      <c r="E95" s="1"/>
      <c r="F95" s="1"/>
      <c r="G95" s="1"/>
      <c r="H95" s="1"/>
      <c r="I95" s="1"/>
      <c r="J95" s="1"/>
      <c r="K95" s="1"/>
      <c r="L95" s="9"/>
      <c r="M95" s="9"/>
      <c r="N95" s="9"/>
      <c r="O95" s="9"/>
      <c r="P95" s="9"/>
      <c r="Q95" s="9"/>
      <c r="R95" s="9"/>
      <c r="S95" s="9"/>
      <c r="T95" s="9"/>
      <c r="U95" s="9"/>
      <c r="V95" s="9"/>
      <c r="W95" s="9"/>
      <c r="X95" s="9"/>
      <c r="Y95" s="9"/>
      <c r="Z95" s="9"/>
      <c r="AA95" s="9"/>
      <c r="AB95" s="9"/>
      <c r="AC95" s="9"/>
      <c r="AD95" s="9"/>
    </row>
    <row r="96" spans="1:30" ht="14.25" customHeight="1" x14ac:dyDescent="0.3">
      <c r="A96" s="1"/>
      <c r="J96" s="1"/>
      <c r="K96" s="1"/>
      <c r="L96" s="9"/>
      <c r="M96" s="9"/>
      <c r="N96" s="9"/>
      <c r="O96" s="9"/>
      <c r="P96" s="9"/>
      <c r="Q96" s="9"/>
      <c r="R96" s="9"/>
      <c r="S96" s="9"/>
      <c r="T96" s="9"/>
      <c r="U96" s="9"/>
      <c r="V96" s="9"/>
      <c r="W96" s="9"/>
      <c r="X96" s="9"/>
      <c r="Y96" s="9"/>
      <c r="Z96" s="9"/>
      <c r="AA96" s="9"/>
      <c r="AB96" s="9"/>
      <c r="AC96" s="9"/>
      <c r="AD96" s="9"/>
    </row>
    <row r="97" spans="1:30" ht="14.25" customHeight="1" x14ac:dyDescent="0.3">
      <c r="A97" s="1"/>
      <c r="J97" s="1"/>
      <c r="K97" s="1"/>
      <c r="L97" s="9"/>
      <c r="M97" s="9"/>
      <c r="N97" s="9"/>
      <c r="O97" s="9"/>
      <c r="P97" s="9"/>
      <c r="Q97" s="9"/>
      <c r="R97" s="9"/>
      <c r="S97" s="9"/>
      <c r="T97" s="9"/>
      <c r="U97" s="9"/>
      <c r="V97" s="9"/>
      <c r="W97" s="9"/>
      <c r="X97" s="9"/>
      <c r="Y97" s="9"/>
      <c r="Z97" s="9"/>
      <c r="AA97" s="9"/>
      <c r="AB97" s="9"/>
      <c r="AC97" s="9"/>
      <c r="AD97" s="9"/>
    </row>
    <row r="98" spans="1:30" ht="14.25" customHeight="1" x14ac:dyDescent="0.3">
      <c r="A98" s="1"/>
      <c r="J98" s="1"/>
      <c r="K98" s="1"/>
      <c r="L98" s="9"/>
      <c r="M98" s="9"/>
      <c r="N98" s="9"/>
      <c r="O98" s="9"/>
      <c r="P98" s="9"/>
      <c r="Q98" s="9"/>
      <c r="R98" s="9"/>
      <c r="S98" s="9"/>
      <c r="T98" s="9"/>
      <c r="U98" s="9"/>
      <c r="V98" s="9"/>
      <c r="W98" s="9"/>
      <c r="X98" s="9"/>
      <c r="Y98" s="9"/>
      <c r="Z98" s="9"/>
      <c r="AA98" s="9"/>
      <c r="AB98" s="9"/>
      <c r="AC98" s="9"/>
      <c r="AD98" s="9"/>
    </row>
    <row r="99" spans="1:30" ht="14.25" customHeight="1" x14ac:dyDescent="0.3">
      <c r="A99" s="1"/>
      <c r="J99" s="1"/>
      <c r="K99" s="1"/>
      <c r="L99" s="9"/>
      <c r="M99" s="9"/>
      <c r="N99" s="9"/>
      <c r="O99" s="9"/>
      <c r="P99" s="9"/>
      <c r="Q99" s="9"/>
      <c r="R99" s="9"/>
      <c r="S99" s="9"/>
      <c r="T99" s="9"/>
      <c r="U99" s="9"/>
      <c r="V99" s="9"/>
      <c r="W99" s="9"/>
      <c r="X99" s="9"/>
      <c r="Y99" s="9"/>
      <c r="Z99" s="9"/>
      <c r="AA99" s="9"/>
      <c r="AB99" s="9"/>
      <c r="AC99" s="9"/>
      <c r="AD99" s="9"/>
    </row>
    <row r="100" spans="1:30" ht="14.25" customHeight="1" x14ac:dyDescent="0.3">
      <c r="A100" s="1"/>
      <c r="J100" s="1"/>
      <c r="K100" s="1"/>
      <c r="L100" s="9"/>
      <c r="M100" s="9"/>
      <c r="N100" s="9"/>
      <c r="O100" s="9"/>
      <c r="P100" s="9"/>
      <c r="Q100" s="9"/>
      <c r="R100" s="9"/>
      <c r="S100" s="9"/>
      <c r="T100" s="9"/>
      <c r="U100" s="9"/>
      <c r="V100" s="9"/>
      <c r="W100" s="9"/>
      <c r="X100" s="9"/>
      <c r="Y100" s="9"/>
      <c r="Z100" s="9"/>
      <c r="AA100" s="9"/>
      <c r="AB100" s="9"/>
      <c r="AC100" s="9"/>
      <c r="AD100" s="9"/>
    </row>
    <row r="101" spans="1:30" ht="14.25" customHeight="1" x14ac:dyDescent="0.3">
      <c r="A101" s="1"/>
      <c r="J101" s="1"/>
      <c r="K101" s="1"/>
      <c r="L101" s="9"/>
      <c r="M101" s="9"/>
      <c r="N101" s="9"/>
      <c r="O101" s="9"/>
      <c r="P101" s="9"/>
      <c r="Q101" s="9"/>
      <c r="R101" s="9"/>
      <c r="S101" s="9"/>
      <c r="T101" s="9"/>
      <c r="U101" s="9"/>
      <c r="V101" s="9"/>
      <c r="W101" s="9"/>
      <c r="X101" s="9"/>
      <c r="Y101" s="9"/>
      <c r="Z101" s="9"/>
      <c r="AA101" s="9"/>
      <c r="AB101" s="9"/>
      <c r="AC101" s="9"/>
      <c r="AD101" s="9"/>
    </row>
    <row r="102" spans="1:30" ht="14.25" customHeight="1" x14ac:dyDescent="0.3">
      <c r="A102" s="1"/>
      <c r="J102" s="1"/>
      <c r="K102" s="1"/>
      <c r="L102" s="9"/>
      <c r="M102" s="9"/>
      <c r="N102" s="9"/>
      <c r="O102" s="9"/>
      <c r="P102" s="9"/>
      <c r="Q102" s="9"/>
      <c r="R102" s="9"/>
      <c r="S102" s="9"/>
      <c r="T102" s="9"/>
      <c r="U102" s="9"/>
      <c r="V102" s="9"/>
      <c r="W102" s="9"/>
      <c r="X102" s="9"/>
      <c r="Y102" s="9"/>
      <c r="Z102" s="9"/>
      <c r="AA102" s="9"/>
      <c r="AB102" s="9"/>
      <c r="AC102" s="9"/>
      <c r="AD102" s="9"/>
    </row>
    <row r="103" spans="1:30" ht="14.25" customHeight="1" x14ac:dyDescent="0.3">
      <c r="A103" s="1"/>
      <c r="J103" s="1"/>
      <c r="K103" s="1"/>
      <c r="L103" s="9"/>
      <c r="M103" s="9"/>
      <c r="N103" s="9"/>
      <c r="O103" s="9"/>
      <c r="P103" s="9"/>
      <c r="Q103" s="9"/>
      <c r="R103" s="9"/>
      <c r="S103" s="9"/>
      <c r="T103" s="9"/>
      <c r="U103" s="9"/>
      <c r="V103" s="9"/>
      <c r="W103" s="9"/>
      <c r="X103" s="9"/>
      <c r="Y103" s="9"/>
      <c r="Z103" s="9"/>
      <c r="AA103" s="9"/>
      <c r="AB103" s="9"/>
      <c r="AC103" s="9"/>
      <c r="AD103" s="9"/>
    </row>
    <row r="104" spans="1:30" ht="14.25" customHeight="1" x14ac:dyDescent="0.3">
      <c r="A104" s="1"/>
      <c r="J104" s="1"/>
      <c r="K104" s="1"/>
      <c r="L104" s="9"/>
      <c r="M104" s="9"/>
      <c r="N104" s="9"/>
      <c r="O104" s="9"/>
      <c r="P104" s="9"/>
      <c r="Q104" s="9"/>
      <c r="R104" s="9"/>
      <c r="S104" s="9"/>
      <c r="T104" s="9"/>
      <c r="U104" s="9"/>
      <c r="V104" s="9"/>
      <c r="W104" s="9"/>
      <c r="X104" s="9"/>
      <c r="Y104" s="9"/>
      <c r="Z104" s="9"/>
      <c r="AA104" s="9"/>
      <c r="AB104" s="9"/>
      <c r="AC104" s="9"/>
      <c r="AD104" s="9"/>
    </row>
    <row r="105" spans="1:30" ht="14.25" customHeight="1" x14ac:dyDescent="0.3">
      <c r="A105" s="1"/>
      <c r="J105" s="1"/>
      <c r="K105" s="1"/>
      <c r="L105" s="9"/>
      <c r="M105" s="9"/>
      <c r="N105" s="9"/>
      <c r="O105" s="9"/>
      <c r="P105" s="9"/>
      <c r="Q105" s="9"/>
      <c r="R105" s="9"/>
      <c r="S105" s="9"/>
      <c r="T105" s="9"/>
      <c r="U105" s="9"/>
      <c r="V105" s="9"/>
      <c r="W105" s="9"/>
      <c r="X105" s="9"/>
      <c r="Y105" s="9"/>
      <c r="Z105" s="9"/>
      <c r="AA105" s="9"/>
      <c r="AB105" s="9"/>
      <c r="AC105" s="9"/>
      <c r="AD105" s="9"/>
    </row>
    <row r="106" spans="1:30" ht="14.25" customHeight="1" x14ac:dyDescent="0.3">
      <c r="A106" s="1"/>
      <c r="J106" s="1"/>
      <c r="K106" s="1"/>
      <c r="L106" s="9"/>
      <c r="M106" s="9"/>
      <c r="N106" s="9"/>
      <c r="O106" s="9"/>
      <c r="P106" s="9"/>
      <c r="Q106" s="9"/>
      <c r="R106" s="9"/>
      <c r="S106" s="9"/>
      <c r="T106" s="9"/>
      <c r="U106" s="9"/>
      <c r="V106" s="9"/>
      <c r="W106" s="9"/>
      <c r="X106" s="9"/>
      <c r="Y106" s="9"/>
      <c r="Z106" s="9"/>
      <c r="AA106" s="9"/>
      <c r="AB106" s="9"/>
      <c r="AC106" s="9"/>
      <c r="AD106" s="9"/>
    </row>
    <row r="107" spans="1:30" ht="14.25" customHeight="1" x14ac:dyDescent="0.3">
      <c r="A107" s="1"/>
      <c r="J107" s="1"/>
      <c r="K107" s="1"/>
      <c r="L107" s="9"/>
      <c r="M107" s="9"/>
      <c r="N107" s="9"/>
      <c r="O107" s="9"/>
      <c r="P107" s="9"/>
      <c r="Q107" s="9"/>
      <c r="R107" s="9"/>
      <c r="S107" s="9"/>
      <c r="T107" s="9"/>
      <c r="U107" s="9"/>
      <c r="V107" s="9"/>
      <c r="W107" s="9"/>
      <c r="X107" s="9"/>
      <c r="Y107" s="9"/>
      <c r="Z107" s="9"/>
      <c r="AA107" s="9"/>
      <c r="AB107" s="9"/>
      <c r="AC107" s="9"/>
      <c r="AD107" s="9"/>
    </row>
    <row r="108" spans="1:30" ht="14.25" customHeight="1" x14ac:dyDescent="0.3">
      <c r="A108" s="1"/>
      <c r="J108" s="1"/>
      <c r="K108" s="1"/>
      <c r="L108" s="9"/>
      <c r="M108" s="9"/>
      <c r="N108" s="9"/>
      <c r="O108" s="9"/>
      <c r="P108" s="9"/>
      <c r="Q108" s="9"/>
      <c r="R108" s="9"/>
      <c r="S108" s="9"/>
      <c r="T108" s="9"/>
      <c r="U108" s="9"/>
      <c r="V108" s="9"/>
      <c r="W108" s="9"/>
      <c r="X108" s="9"/>
      <c r="Y108" s="9"/>
      <c r="Z108" s="9"/>
      <c r="AA108" s="9"/>
      <c r="AB108" s="9"/>
      <c r="AC108" s="9"/>
      <c r="AD108" s="9"/>
    </row>
    <row r="109" spans="1:30" ht="14.25" customHeight="1" x14ac:dyDescent="0.3">
      <c r="A109" s="1"/>
      <c r="J109" s="1"/>
      <c r="K109" s="1"/>
      <c r="L109" s="9"/>
      <c r="M109" s="9"/>
      <c r="N109" s="9"/>
      <c r="O109" s="9"/>
      <c r="P109" s="9"/>
      <c r="Q109" s="9"/>
      <c r="R109" s="9"/>
      <c r="S109" s="9"/>
      <c r="T109" s="9"/>
      <c r="U109" s="9"/>
      <c r="V109" s="9"/>
      <c r="W109" s="9"/>
      <c r="X109" s="9"/>
      <c r="Y109" s="9"/>
      <c r="Z109" s="9"/>
      <c r="AA109" s="9"/>
      <c r="AB109" s="9"/>
      <c r="AC109" s="9"/>
      <c r="AD109" s="9"/>
    </row>
  </sheetData>
  <mergeCells count="30">
    <mergeCell ref="B6:C6"/>
    <mergeCell ref="D6:E6"/>
    <mergeCell ref="F6:G6"/>
    <mergeCell ref="H6:I6"/>
    <mergeCell ref="J6:K6"/>
    <mergeCell ref="B7:C8"/>
    <mergeCell ref="D7:E8"/>
    <mergeCell ref="F7:G8"/>
    <mergeCell ref="H7:I8"/>
    <mergeCell ref="J7:K8"/>
    <mergeCell ref="B9:C9"/>
    <mergeCell ref="D9:E9"/>
    <mergeCell ref="F9:G9"/>
    <mergeCell ref="H9:I9"/>
    <mergeCell ref="J9:K9"/>
    <mergeCell ref="B10:C10"/>
    <mergeCell ref="D10:E10"/>
    <mergeCell ref="F10:G10"/>
    <mergeCell ref="H10:I10"/>
    <mergeCell ref="J10:K10"/>
    <mergeCell ref="B11:C12"/>
    <mergeCell ref="D11:E12"/>
    <mergeCell ref="F11:G12"/>
    <mergeCell ref="H11:I12"/>
    <mergeCell ref="J11:K12"/>
    <mergeCell ref="B13:C13"/>
    <mergeCell ref="D13:E13"/>
    <mergeCell ref="F13:G13"/>
    <mergeCell ref="H13:I13"/>
    <mergeCell ref="J13:K13"/>
  </mergeCells>
  <pageMargins left="0.75" right="0.75" top="1" bottom="1" header="0.511811023622047" footer="0.511811023622047"/>
  <pageSetup paperSize="9" scale="25"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9BD5"/>
  </sheetPr>
  <dimension ref="A1:AD92"/>
  <sheetViews>
    <sheetView showGridLines="0" zoomScaleNormal="100" workbookViewId="0">
      <selection activeCell="P1" sqref="P1:AD3"/>
    </sheetView>
  </sheetViews>
  <sheetFormatPr defaultColWidth="8.59765625" defaultRowHeight="13.8" x14ac:dyDescent="0.25"/>
  <cols>
    <col min="1" max="1" width="1.8984375" customWidth="1"/>
    <col min="2" max="2" width="32" customWidth="1"/>
    <col min="3" max="3" width="18" customWidth="1"/>
    <col min="4" max="4" width="12" customWidth="1"/>
    <col min="5" max="5" width="38" customWidth="1"/>
  </cols>
  <sheetData>
    <row r="1" spans="1:30" ht="14.25" customHeight="1" x14ac:dyDescent="0.3">
      <c r="A1" s="86"/>
      <c r="B1" s="86"/>
      <c r="C1" s="86"/>
      <c r="D1" s="86"/>
      <c r="E1" s="86"/>
      <c r="F1" s="87"/>
      <c r="G1" s="87"/>
      <c r="H1" s="87"/>
      <c r="I1" s="87"/>
      <c r="J1" s="87"/>
      <c r="K1" s="87"/>
      <c r="L1" s="87"/>
      <c r="M1" s="87"/>
      <c r="N1" s="87"/>
      <c r="O1" s="87"/>
      <c r="P1" s="85"/>
      <c r="Q1" s="85"/>
      <c r="R1" s="85"/>
      <c r="S1" s="85"/>
      <c r="T1" s="85"/>
      <c r="U1" s="85"/>
      <c r="V1" s="85"/>
      <c r="W1" s="85"/>
      <c r="X1" s="85"/>
      <c r="Y1" s="85"/>
      <c r="Z1" s="85"/>
      <c r="AA1" s="85"/>
      <c r="AB1" s="85"/>
      <c r="AC1" s="85"/>
      <c r="AD1" s="85"/>
    </row>
    <row r="2" spans="1:30" ht="21.75" customHeight="1" x14ac:dyDescent="0.4">
      <c r="A2" s="86"/>
      <c r="B2" s="88" t="s">
        <v>63</v>
      </c>
      <c r="C2" s="86"/>
      <c r="D2" s="86"/>
      <c r="E2" s="86"/>
      <c r="F2" s="87"/>
      <c r="G2" s="87"/>
      <c r="H2" s="87"/>
      <c r="I2" s="87"/>
      <c r="J2" s="87"/>
      <c r="K2" s="87"/>
      <c r="L2" s="87"/>
      <c r="M2" s="87"/>
      <c r="N2" s="87"/>
      <c r="O2" s="87"/>
      <c r="P2" s="85"/>
      <c r="Q2" s="85"/>
      <c r="R2" s="85"/>
      <c r="S2" s="85"/>
      <c r="T2" s="85"/>
      <c r="U2" s="85"/>
      <c r="V2" s="85"/>
      <c r="W2" s="85"/>
      <c r="X2" s="85"/>
      <c r="Y2" s="85"/>
      <c r="Z2" s="85"/>
      <c r="AA2" s="85"/>
      <c r="AB2" s="85"/>
      <c r="AC2" s="85"/>
      <c r="AD2" s="85"/>
    </row>
    <row r="3" spans="1:30" ht="14.25" customHeight="1" x14ac:dyDescent="0.3">
      <c r="A3" s="86"/>
      <c r="B3" s="90" t="s">
        <v>64</v>
      </c>
      <c r="C3" s="86"/>
      <c r="D3" s="86"/>
      <c r="E3" s="86"/>
      <c r="F3" s="87"/>
      <c r="G3" s="87"/>
      <c r="H3" s="87"/>
      <c r="I3" s="87"/>
      <c r="J3" s="87"/>
      <c r="K3" s="87"/>
      <c r="L3" s="87"/>
      <c r="M3" s="87"/>
      <c r="N3" s="87"/>
      <c r="O3" s="87"/>
      <c r="P3" s="85"/>
      <c r="Q3" s="85"/>
      <c r="R3" s="85"/>
      <c r="S3" s="85"/>
      <c r="T3" s="85"/>
      <c r="U3" s="85"/>
      <c r="V3" s="85"/>
      <c r="W3" s="85"/>
      <c r="X3" s="85"/>
      <c r="Y3" s="85"/>
      <c r="Z3" s="85"/>
      <c r="AA3" s="85"/>
      <c r="AB3" s="85"/>
      <c r="AC3" s="85"/>
      <c r="AD3" s="85"/>
    </row>
    <row r="4" spans="1:30" ht="3" customHeight="1" x14ac:dyDescent="0.3">
      <c r="A4" s="1"/>
      <c r="B4" s="1"/>
      <c r="C4" s="1"/>
      <c r="D4" s="1"/>
      <c r="E4" s="1"/>
      <c r="F4" s="9"/>
      <c r="G4" s="9"/>
      <c r="H4" s="9"/>
      <c r="I4" s="9"/>
      <c r="J4" s="9"/>
      <c r="K4" s="9"/>
      <c r="L4" s="9"/>
      <c r="M4" s="9"/>
      <c r="N4" s="9"/>
      <c r="O4" s="9"/>
      <c r="P4" s="9"/>
      <c r="Q4" s="9"/>
      <c r="R4" s="9"/>
      <c r="S4" s="9"/>
      <c r="T4" s="9"/>
      <c r="U4" s="9"/>
      <c r="V4" s="9"/>
      <c r="W4" s="9"/>
      <c r="X4" s="9"/>
      <c r="Y4" s="9"/>
      <c r="Z4" s="9"/>
      <c r="AA4" s="9"/>
      <c r="AB4" s="9"/>
      <c r="AC4" s="9"/>
      <c r="AD4" s="9"/>
    </row>
    <row r="5" spans="1:30" ht="14.25" customHeight="1" x14ac:dyDescent="0.3">
      <c r="A5" s="1"/>
      <c r="B5" s="2" t="s">
        <v>65</v>
      </c>
      <c r="C5" s="3"/>
      <c r="D5" s="3"/>
      <c r="E5" s="3"/>
      <c r="F5" s="9"/>
      <c r="G5" s="9"/>
      <c r="H5" s="9"/>
      <c r="I5" s="9"/>
      <c r="J5" s="9"/>
      <c r="K5" s="9"/>
      <c r="L5" s="9"/>
      <c r="M5" s="9"/>
      <c r="N5" s="9"/>
      <c r="O5" s="9"/>
      <c r="P5" s="9"/>
      <c r="Q5" s="9"/>
      <c r="R5" s="9"/>
      <c r="S5" s="9"/>
      <c r="T5" s="9"/>
      <c r="U5" s="9"/>
      <c r="V5" s="9"/>
      <c r="W5" s="9"/>
      <c r="X5" s="9"/>
      <c r="Y5" s="9"/>
      <c r="Z5" s="9"/>
      <c r="AA5" s="9"/>
      <c r="AB5" s="9"/>
      <c r="AC5" s="9"/>
      <c r="AD5" s="9"/>
    </row>
    <row r="6" spans="1:30" ht="14.25" customHeight="1" x14ac:dyDescent="0.3">
      <c r="A6" s="1"/>
      <c r="B6" t="s">
        <v>66</v>
      </c>
      <c r="C6" s="23">
        <v>46000</v>
      </c>
      <c r="D6" s="5" t="s">
        <v>67</v>
      </c>
      <c r="E6" s="5" t="s">
        <v>68</v>
      </c>
      <c r="F6" s="9"/>
      <c r="G6" s="9"/>
      <c r="H6" s="9"/>
      <c r="I6" s="9"/>
      <c r="J6" s="9"/>
      <c r="K6" s="9"/>
      <c r="L6" s="9"/>
      <c r="M6" s="9"/>
      <c r="N6" s="9"/>
      <c r="O6" s="9"/>
      <c r="P6" s="9"/>
      <c r="Q6" s="9"/>
      <c r="R6" s="9"/>
      <c r="S6" s="9"/>
      <c r="T6" s="9"/>
      <c r="U6" s="9"/>
      <c r="V6" s="9"/>
      <c r="W6" s="9"/>
      <c r="X6" s="9"/>
      <c r="Y6" s="9"/>
      <c r="Z6" s="9"/>
      <c r="AA6" s="9"/>
      <c r="AB6" s="9"/>
      <c r="AC6" s="9"/>
      <c r="AD6" s="9"/>
    </row>
    <row r="7" spans="1:30" ht="14.25" customHeight="1" x14ac:dyDescent="0.3">
      <c r="A7" s="1"/>
      <c r="B7" t="s">
        <v>69</v>
      </c>
      <c r="C7" s="24">
        <v>0.05</v>
      </c>
      <c r="D7" s="5" t="s">
        <v>70</v>
      </c>
      <c r="E7" s="1"/>
      <c r="F7" s="9"/>
      <c r="G7" s="9"/>
      <c r="H7" s="9"/>
      <c r="I7" s="9"/>
      <c r="J7" s="9"/>
      <c r="K7" s="9"/>
      <c r="L7" s="9"/>
      <c r="M7" s="9"/>
      <c r="N7" s="9"/>
      <c r="O7" s="9"/>
      <c r="P7" s="9"/>
      <c r="Q7" s="9"/>
      <c r="R7" s="9"/>
      <c r="S7" s="9"/>
      <c r="T7" s="9"/>
      <c r="U7" s="9"/>
      <c r="V7" s="9"/>
      <c r="W7" s="9"/>
      <c r="X7" s="9"/>
      <c r="Y7" s="9"/>
      <c r="Z7" s="9"/>
      <c r="AA7" s="9"/>
      <c r="AB7" s="9"/>
      <c r="AC7" s="9"/>
      <c r="AD7" s="9"/>
    </row>
    <row r="8" spans="1:30" ht="14.25" customHeight="1" x14ac:dyDescent="0.3">
      <c r="A8" s="1"/>
      <c r="B8" t="s">
        <v>71</v>
      </c>
      <c r="C8" s="24">
        <v>0.25</v>
      </c>
      <c r="D8" s="5" t="s">
        <v>70</v>
      </c>
      <c r="E8" s="1"/>
      <c r="F8" s="9"/>
      <c r="G8" s="9"/>
      <c r="H8" s="9"/>
      <c r="I8" s="9"/>
      <c r="J8" s="9"/>
      <c r="K8" s="9"/>
      <c r="L8" s="9"/>
      <c r="M8" s="9"/>
      <c r="N8" s="9"/>
      <c r="O8" s="9"/>
      <c r="P8" s="9"/>
      <c r="Q8" s="9"/>
      <c r="R8" s="9"/>
      <c r="S8" s="9"/>
      <c r="T8" s="9"/>
      <c r="U8" s="9"/>
      <c r="V8" s="9"/>
      <c r="W8" s="9"/>
      <c r="X8" s="9"/>
      <c r="Y8" s="9"/>
      <c r="Z8" s="9"/>
      <c r="AA8" s="9"/>
      <c r="AB8" s="9"/>
      <c r="AC8" s="9"/>
      <c r="AD8" s="9"/>
    </row>
    <row r="9" spans="1:30" ht="14.25" customHeight="1" x14ac:dyDescent="0.3">
      <c r="A9" s="1"/>
      <c r="B9" t="s">
        <v>72</v>
      </c>
      <c r="C9" s="24">
        <v>0.04</v>
      </c>
      <c r="D9" s="5" t="s">
        <v>70</v>
      </c>
      <c r="E9" s="1"/>
      <c r="F9" s="9"/>
      <c r="G9" s="9"/>
      <c r="H9" s="9"/>
      <c r="I9" s="9"/>
      <c r="J9" s="9"/>
      <c r="K9" s="9"/>
      <c r="L9" s="9"/>
      <c r="M9" s="9"/>
      <c r="N9" s="9"/>
      <c r="O9" s="9"/>
      <c r="P9" s="9"/>
      <c r="Q9" s="9"/>
      <c r="R9" s="9"/>
      <c r="S9" s="9"/>
      <c r="T9" s="9"/>
      <c r="U9" s="9"/>
      <c r="V9" s="9"/>
      <c r="W9" s="9"/>
      <c r="X9" s="9"/>
      <c r="Y9" s="9"/>
      <c r="Z9" s="9"/>
      <c r="AA9" s="9"/>
      <c r="AB9" s="9"/>
      <c r="AC9" s="9"/>
      <c r="AD9" s="9"/>
    </row>
    <row r="10" spans="1:30" ht="14.25" customHeight="1" x14ac:dyDescent="0.3">
      <c r="A10" s="1"/>
      <c r="B10" t="s">
        <v>73</v>
      </c>
      <c r="C10" s="23">
        <v>200</v>
      </c>
      <c r="D10" s="5" t="s">
        <v>67</v>
      </c>
      <c r="E10" s="5" t="s">
        <v>74</v>
      </c>
      <c r="F10" s="9"/>
      <c r="G10" s="9"/>
      <c r="H10" s="9"/>
      <c r="I10" s="9"/>
      <c r="J10" s="9"/>
      <c r="K10" s="9"/>
      <c r="L10" s="9"/>
      <c r="M10" s="9"/>
      <c r="N10" s="9"/>
      <c r="O10" s="9"/>
      <c r="P10" s="9"/>
      <c r="Q10" s="9"/>
      <c r="R10" s="9"/>
      <c r="S10" s="9"/>
      <c r="T10" s="9"/>
      <c r="U10" s="9"/>
      <c r="V10" s="9"/>
      <c r="W10" s="9"/>
      <c r="X10" s="9"/>
      <c r="Y10" s="9"/>
      <c r="Z10" s="9"/>
      <c r="AA10" s="9"/>
      <c r="AB10" s="9"/>
      <c r="AC10" s="9"/>
      <c r="AD10" s="9"/>
    </row>
    <row r="11" spans="1:30" ht="14.25" customHeight="1" x14ac:dyDescent="0.3">
      <c r="A11" s="1"/>
      <c r="B11" t="s">
        <v>75</v>
      </c>
      <c r="C11" s="24">
        <v>0.05</v>
      </c>
      <c r="D11" s="5" t="s">
        <v>70</v>
      </c>
      <c r="E11" s="5" t="s">
        <v>76</v>
      </c>
      <c r="F11" s="9"/>
      <c r="G11" s="9"/>
      <c r="H11" s="9"/>
      <c r="I11" s="9"/>
      <c r="J11" s="9"/>
      <c r="K11" s="9"/>
      <c r="L11" s="9"/>
      <c r="M11" s="9"/>
      <c r="N11" s="9"/>
      <c r="O11" s="9"/>
      <c r="P11" s="9"/>
      <c r="Q11" s="9"/>
      <c r="R11" s="9"/>
      <c r="S11" s="9"/>
      <c r="T11" s="9"/>
      <c r="U11" s="9"/>
      <c r="V11" s="9"/>
      <c r="W11" s="9"/>
      <c r="X11" s="9"/>
      <c r="Y11" s="9"/>
      <c r="Z11" s="9"/>
      <c r="AA11" s="9"/>
      <c r="AB11" s="9"/>
      <c r="AC11" s="9"/>
      <c r="AD11" s="9"/>
    </row>
    <row r="12" spans="1:30" ht="14.25" customHeight="1" x14ac:dyDescent="0.3">
      <c r="A12" s="1"/>
      <c r="B12" t="s">
        <v>77</v>
      </c>
      <c r="C12" s="24">
        <v>0.25</v>
      </c>
      <c r="D12" s="5" t="s">
        <v>70</v>
      </c>
      <c r="E12" s="1"/>
      <c r="F12" s="9"/>
      <c r="G12" s="9"/>
      <c r="H12" s="9"/>
      <c r="I12" s="9"/>
      <c r="J12" s="9"/>
      <c r="K12" s="9"/>
      <c r="L12" s="9"/>
      <c r="M12" s="9"/>
      <c r="N12" s="9"/>
      <c r="O12" s="9"/>
      <c r="P12" s="9"/>
      <c r="Q12" s="9"/>
      <c r="R12" s="9"/>
      <c r="S12" s="9"/>
      <c r="T12" s="9"/>
      <c r="U12" s="9"/>
      <c r="V12" s="9"/>
      <c r="W12" s="9"/>
      <c r="X12" s="9"/>
      <c r="Y12" s="9"/>
      <c r="Z12" s="9"/>
      <c r="AA12" s="9"/>
      <c r="AB12" s="9"/>
      <c r="AC12" s="9"/>
      <c r="AD12" s="9"/>
    </row>
    <row r="13" spans="1:30" ht="14.25" customHeight="1" x14ac:dyDescent="0.3">
      <c r="A13" s="1"/>
      <c r="B13" t="s">
        <v>78</v>
      </c>
      <c r="C13" s="23">
        <v>450</v>
      </c>
      <c r="D13" s="5" t="s">
        <v>79</v>
      </c>
      <c r="E13" s="1"/>
      <c r="F13" s="9"/>
      <c r="G13" s="9"/>
      <c r="H13" s="9"/>
      <c r="I13" s="9"/>
      <c r="J13" s="9"/>
      <c r="K13" s="9"/>
      <c r="L13" s="9"/>
      <c r="M13" s="9"/>
      <c r="N13" s="9"/>
      <c r="O13" s="9"/>
      <c r="P13" s="9"/>
      <c r="Q13" s="9"/>
      <c r="R13" s="9"/>
      <c r="S13" s="9"/>
      <c r="T13" s="9"/>
      <c r="U13" s="9"/>
      <c r="V13" s="9"/>
      <c r="W13" s="9"/>
      <c r="X13" s="9"/>
      <c r="Y13" s="9"/>
      <c r="Z13" s="9"/>
      <c r="AA13" s="9"/>
      <c r="AB13" s="9"/>
      <c r="AC13" s="9"/>
      <c r="AD13" s="9"/>
    </row>
    <row r="14" spans="1:30" ht="14.25" customHeight="1" x14ac:dyDescent="0.3">
      <c r="A14" s="1"/>
      <c r="B14" t="s">
        <v>80</v>
      </c>
      <c r="C14" s="23">
        <v>330</v>
      </c>
      <c r="D14" s="5" t="s">
        <v>81</v>
      </c>
      <c r="E14" s="1"/>
      <c r="F14" s="9"/>
      <c r="G14" s="9"/>
      <c r="H14" s="9"/>
      <c r="I14" s="9"/>
      <c r="J14" s="9"/>
      <c r="K14" s="9"/>
      <c r="L14" s="9"/>
      <c r="M14" s="9"/>
      <c r="N14" s="9"/>
      <c r="O14" s="9"/>
      <c r="P14" s="9"/>
      <c r="Q14" s="9"/>
      <c r="R14" s="9"/>
      <c r="S14" s="9"/>
      <c r="T14" s="9"/>
      <c r="U14" s="9"/>
      <c r="V14" s="9"/>
      <c r="W14" s="9"/>
      <c r="X14" s="9"/>
      <c r="Y14" s="9"/>
      <c r="Z14" s="9"/>
      <c r="AA14" s="9"/>
      <c r="AB14" s="9"/>
      <c r="AC14" s="9"/>
      <c r="AD14" s="9"/>
    </row>
    <row r="15" spans="1:30" ht="14.25" customHeight="1" x14ac:dyDescent="0.3">
      <c r="A15" s="1"/>
      <c r="B15" t="s">
        <v>82</v>
      </c>
      <c r="C15" s="23">
        <v>5000</v>
      </c>
      <c r="D15" s="5" t="s">
        <v>67</v>
      </c>
      <c r="E15" s="5" t="s">
        <v>83</v>
      </c>
      <c r="F15" s="9"/>
      <c r="G15" s="9"/>
      <c r="H15" s="9"/>
      <c r="I15" s="9"/>
      <c r="J15" s="9"/>
      <c r="K15" s="9"/>
      <c r="L15" s="9"/>
      <c r="M15" s="9"/>
      <c r="N15" s="9"/>
      <c r="O15" s="9"/>
      <c r="P15" s="9"/>
      <c r="Q15" s="9"/>
      <c r="R15" s="9"/>
      <c r="S15" s="9"/>
      <c r="T15" s="9"/>
      <c r="U15" s="9"/>
      <c r="V15" s="9"/>
      <c r="W15" s="9"/>
      <c r="X15" s="9"/>
      <c r="Y15" s="9"/>
      <c r="Z15" s="9"/>
      <c r="AA15" s="9"/>
      <c r="AB15" s="9"/>
      <c r="AC15" s="9"/>
      <c r="AD15" s="9"/>
    </row>
    <row r="16" spans="1:30" ht="14.25" customHeight="1" x14ac:dyDescent="0.3">
      <c r="A16" s="1"/>
      <c r="B16" t="s">
        <v>84</v>
      </c>
      <c r="C16" s="23">
        <v>1500</v>
      </c>
      <c r="D16" s="5" t="s">
        <v>67</v>
      </c>
      <c r="E16" s="5" t="s">
        <v>85</v>
      </c>
      <c r="F16" s="9"/>
      <c r="G16" s="9"/>
      <c r="H16" s="9"/>
      <c r="I16" s="9"/>
      <c r="J16" s="9"/>
      <c r="K16" s="9"/>
      <c r="L16" s="9"/>
      <c r="M16" s="9"/>
      <c r="N16" s="9"/>
      <c r="O16" s="9"/>
      <c r="P16" s="9"/>
      <c r="Q16" s="9"/>
      <c r="R16" s="9"/>
      <c r="S16" s="9"/>
      <c r="T16" s="9"/>
      <c r="U16" s="9"/>
      <c r="V16" s="9"/>
      <c r="W16" s="9"/>
      <c r="X16" s="9"/>
      <c r="Y16" s="9"/>
      <c r="Z16" s="9"/>
      <c r="AA16" s="9"/>
      <c r="AB16" s="9"/>
      <c r="AC16" s="9"/>
      <c r="AD16" s="9"/>
    </row>
    <row r="17" spans="1:30" ht="14.25" customHeight="1" x14ac:dyDescent="0.3">
      <c r="A17" s="1"/>
      <c r="B17" t="s">
        <v>86</v>
      </c>
      <c r="C17" s="23">
        <v>8500</v>
      </c>
      <c r="D17" s="5" t="s">
        <v>67</v>
      </c>
      <c r="E17" s="5" t="s">
        <v>87</v>
      </c>
      <c r="F17" s="9"/>
      <c r="G17" s="9"/>
      <c r="H17" s="9"/>
      <c r="I17" s="9"/>
      <c r="J17" s="9"/>
      <c r="K17" s="9"/>
      <c r="L17" s="9"/>
      <c r="M17" s="9"/>
      <c r="N17" s="9"/>
      <c r="O17" s="9"/>
      <c r="P17" s="9"/>
      <c r="Q17" s="9"/>
      <c r="R17" s="9"/>
      <c r="S17" s="9"/>
      <c r="T17" s="9"/>
      <c r="U17" s="9"/>
      <c r="V17" s="9"/>
      <c r="W17" s="9"/>
      <c r="X17" s="9"/>
      <c r="Y17" s="9"/>
      <c r="Z17" s="9"/>
      <c r="AA17" s="9"/>
      <c r="AB17" s="9"/>
      <c r="AC17" s="9"/>
      <c r="AD17" s="9"/>
    </row>
    <row r="18" spans="1:30" ht="14.25" customHeight="1" x14ac:dyDescent="0.3">
      <c r="A18" s="1"/>
      <c r="B18" t="s">
        <v>88</v>
      </c>
      <c r="C18" s="23">
        <v>0</v>
      </c>
      <c r="D18" s="5" t="s">
        <v>67</v>
      </c>
      <c r="E18" s="5" t="s">
        <v>89</v>
      </c>
      <c r="F18" s="9"/>
      <c r="G18" s="9"/>
      <c r="H18" s="9"/>
      <c r="I18" s="9"/>
      <c r="J18" s="9"/>
      <c r="K18" s="9"/>
      <c r="L18" s="9"/>
      <c r="M18" s="9"/>
      <c r="N18" s="9"/>
      <c r="O18" s="9"/>
      <c r="P18" s="9"/>
      <c r="Q18" s="9"/>
      <c r="R18" s="9"/>
      <c r="S18" s="9"/>
      <c r="T18" s="9"/>
      <c r="U18" s="9"/>
      <c r="V18" s="9"/>
      <c r="W18" s="9"/>
      <c r="X18" s="9"/>
      <c r="Y18" s="9"/>
      <c r="Z18" s="9"/>
      <c r="AA18" s="9"/>
      <c r="AB18" s="9"/>
      <c r="AC18" s="9"/>
      <c r="AD18" s="9"/>
    </row>
    <row r="19" spans="1:30" ht="14.25" customHeight="1" x14ac:dyDescent="0.3">
      <c r="A19" s="1"/>
      <c r="B19" t="s">
        <v>90</v>
      </c>
      <c r="C19" s="23">
        <v>2000</v>
      </c>
      <c r="D19" s="5" t="s">
        <v>67</v>
      </c>
      <c r="E19" s="5" t="s">
        <v>83</v>
      </c>
      <c r="F19" s="9"/>
      <c r="G19" s="9"/>
      <c r="H19" s="9"/>
      <c r="I19" s="9"/>
      <c r="J19" s="9"/>
      <c r="K19" s="9"/>
      <c r="L19" s="9"/>
      <c r="M19" s="9"/>
      <c r="N19" s="9"/>
      <c r="O19" s="9"/>
      <c r="P19" s="9"/>
      <c r="Q19" s="9"/>
      <c r="R19" s="9"/>
      <c r="S19" s="9"/>
      <c r="T19" s="9"/>
      <c r="U19" s="9"/>
      <c r="V19" s="9"/>
      <c r="W19" s="9"/>
      <c r="X19" s="9"/>
      <c r="Y19" s="9"/>
      <c r="Z19" s="9"/>
      <c r="AA19" s="9"/>
      <c r="AB19" s="9"/>
      <c r="AC19" s="9"/>
      <c r="AD19" s="9"/>
    </row>
    <row r="20" spans="1:30" ht="14.25" customHeight="1" x14ac:dyDescent="0.3">
      <c r="A20" s="1"/>
      <c r="B20" t="s">
        <v>91</v>
      </c>
      <c r="C20" s="23">
        <v>3000</v>
      </c>
      <c r="D20" s="5" t="s">
        <v>67</v>
      </c>
      <c r="E20" s="5" t="s">
        <v>92</v>
      </c>
      <c r="F20" s="9"/>
      <c r="G20" s="9"/>
      <c r="H20" s="9"/>
      <c r="I20" s="9"/>
      <c r="J20" s="9"/>
      <c r="K20" s="9"/>
      <c r="L20" s="9"/>
      <c r="M20" s="9"/>
      <c r="N20" s="9"/>
      <c r="O20" s="9"/>
      <c r="P20" s="9"/>
      <c r="Q20" s="9"/>
      <c r="R20" s="9"/>
      <c r="S20" s="9"/>
      <c r="T20" s="9"/>
      <c r="U20" s="9"/>
      <c r="V20" s="9"/>
      <c r="W20" s="9"/>
      <c r="X20" s="9"/>
      <c r="Y20" s="9"/>
      <c r="Z20" s="9"/>
      <c r="AA20" s="9"/>
      <c r="AB20" s="9"/>
      <c r="AC20" s="9"/>
      <c r="AD20" s="9"/>
    </row>
    <row r="21" spans="1:30" ht="14.25" customHeight="1" x14ac:dyDescent="0.3">
      <c r="A21" s="1"/>
      <c r="B21" s="1"/>
      <c r="C21" s="1"/>
      <c r="D21" s="1"/>
      <c r="E21" s="1"/>
      <c r="F21" s="9"/>
      <c r="G21" s="9"/>
      <c r="H21" s="9"/>
      <c r="I21" s="9"/>
      <c r="J21" s="9"/>
      <c r="K21" s="9"/>
      <c r="L21" s="9"/>
      <c r="M21" s="9"/>
      <c r="N21" s="9"/>
      <c r="O21" s="9"/>
      <c r="P21" s="9"/>
      <c r="Q21" s="9"/>
      <c r="R21" s="9"/>
      <c r="S21" s="9"/>
      <c r="T21" s="9"/>
      <c r="U21" s="9"/>
      <c r="V21" s="9"/>
      <c r="W21" s="9"/>
      <c r="X21" s="9"/>
      <c r="Y21" s="9"/>
      <c r="Z21" s="9"/>
      <c r="AA21" s="9"/>
      <c r="AB21" s="9"/>
      <c r="AC21" s="9"/>
      <c r="AD21" s="9"/>
    </row>
    <row r="22" spans="1:30" ht="14.25" customHeight="1" x14ac:dyDescent="0.3">
      <c r="A22" s="1"/>
      <c r="B22" s="2" t="s">
        <v>93</v>
      </c>
      <c r="C22" s="3"/>
      <c r="D22" s="3"/>
      <c r="E22" s="3"/>
      <c r="F22" s="9"/>
      <c r="G22" s="9"/>
      <c r="H22" s="9"/>
      <c r="I22" s="9"/>
      <c r="J22" s="9"/>
      <c r="K22" s="9"/>
      <c r="L22" s="9"/>
      <c r="M22" s="9"/>
      <c r="N22" s="9"/>
      <c r="O22" s="9"/>
      <c r="P22" s="9"/>
      <c r="Q22" s="9"/>
      <c r="R22" s="9"/>
      <c r="S22" s="9"/>
      <c r="T22" s="9"/>
      <c r="U22" s="9"/>
      <c r="V22" s="9"/>
      <c r="W22" s="9"/>
      <c r="X22" s="9"/>
      <c r="Y22" s="9"/>
      <c r="Z22" s="9"/>
      <c r="AA22" s="9"/>
      <c r="AB22" s="9"/>
      <c r="AC22" s="9"/>
      <c r="AD22" s="9"/>
    </row>
    <row r="23" spans="1:30" ht="14.25" customHeight="1" x14ac:dyDescent="0.3">
      <c r="A23" s="1"/>
      <c r="B23" t="s">
        <v>66</v>
      </c>
      <c r="C23" s="23">
        <v>150</v>
      </c>
      <c r="D23" s="5" t="s">
        <v>67</v>
      </c>
      <c r="E23" s="5" t="s">
        <v>68</v>
      </c>
      <c r="F23" s="9"/>
      <c r="G23" s="9"/>
      <c r="H23" s="9"/>
      <c r="I23" s="9"/>
      <c r="J23" s="9"/>
      <c r="K23" s="9"/>
      <c r="L23" s="9"/>
      <c r="M23" s="9"/>
      <c r="N23" s="9"/>
      <c r="O23" s="9"/>
      <c r="P23" s="9"/>
      <c r="Q23" s="9"/>
      <c r="R23" s="9"/>
      <c r="S23" s="9"/>
      <c r="T23" s="9"/>
      <c r="U23" s="9"/>
      <c r="V23" s="9"/>
      <c r="W23" s="9"/>
      <c r="X23" s="9"/>
      <c r="Y23" s="9"/>
      <c r="Z23" s="9"/>
      <c r="AA23" s="9"/>
      <c r="AB23" s="9"/>
      <c r="AC23" s="9"/>
      <c r="AD23" s="9"/>
    </row>
    <row r="24" spans="1:30" ht="14.25" customHeight="1" x14ac:dyDescent="0.3">
      <c r="A24" s="1"/>
      <c r="B24" t="s">
        <v>69</v>
      </c>
      <c r="C24" s="24">
        <v>0.08</v>
      </c>
      <c r="D24" s="5" t="s">
        <v>70</v>
      </c>
      <c r="E24" s="1"/>
      <c r="F24" s="9"/>
      <c r="G24" s="9"/>
      <c r="H24" s="9"/>
      <c r="I24" s="9"/>
      <c r="J24" s="9"/>
      <c r="K24" s="9"/>
      <c r="L24" s="9"/>
      <c r="M24" s="9"/>
      <c r="N24" s="9"/>
      <c r="O24" s="9"/>
      <c r="P24" s="9"/>
      <c r="Q24" s="9"/>
      <c r="R24" s="9"/>
      <c r="S24" s="9"/>
      <c r="T24" s="9"/>
      <c r="U24" s="9"/>
      <c r="V24" s="9"/>
      <c r="W24" s="9"/>
      <c r="X24" s="9"/>
      <c r="Y24" s="9"/>
      <c r="Z24" s="9"/>
      <c r="AA24" s="9"/>
      <c r="AB24" s="9"/>
      <c r="AC24" s="9"/>
      <c r="AD24" s="9"/>
    </row>
    <row r="25" spans="1:30" ht="14.25" customHeight="1" x14ac:dyDescent="0.3">
      <c r="A25" s="1"/>
      <c r="B25" t="s">
        <v>71</v>
      </c>
      <c r="C25" s="24">
        <v>0.4</v>
      </c>
      <c r="D25" s="5" t="s">
        <v>70</v>
      </c>
      <c r="E25" s="1"/>
      <c r="F25" s="9"/>
      <c r="G25" s="9"/>
      <c r="H25" s="9"/>
      <c r="I25" s="9"/>
      <c r="J25" s="9"/>
      <c r="K25" s="9"/>
      <c r="L25" s="9"/>
      <c r="M25" s="9"/>
      <c r="N25" s="9"/>
      <c r="O25" s="9"/>
      <c r="P25" s="9"/>
      <c r="Q25" s="9"/>
      <c r="R25" s="9"/>
      <c r="S25" s="9"/>
      <c r="T25" s="9"/>
      <c r="U25" s="9"/>
      <c r="V25" s="9"/>
      <c r="W25" s="9"/>
      <c r="X25" s="9"/>
      <c r="Y25" s="9"/>
      <c r="Z25" s="9"/>
      <c r="AA25" s="9"/>
      <c r="AB25" s="9"/>
      <c r="AC25" s="9"/>
      <c r="AD25" s="9"/>
    </row>
    <row r="26" spans="1:30" ht="14.25" customHeight="1" x14ac:dyDescent="0.3">
      <c r="A26" s="1"/>
      <c r="B26" t="s">
        <v>94</v>
      </c>
      <c r="C26" s="24">
        <v>0.03</v>
      </c>
      <c r="D26" s="5" t="s">
        <v>70</v>
      </c>
      <c r="E26" s="1"/>
      <c r="F26" s="9"/>
      <c r="G26" s="9"/>
      <c r="H26" s="9"/>
      <c r="I26" s="9"/>
      <c r="J26" s="9"/>
      <c r="K26" s="9"/>
      <c r="L26" s="9"/>
      <c r="M26" s="9"/>
      <c r="N26" s="9"/>
      <c r="O26" s="9"/>
      <c r="P26" s="9"/>
      <c r="Q26" s="9"/>
      <c r="R26" s="9"/>
      <c r="S26" s="9"/>
      <c r="T26" s="9"/>
      <c r="U26" s="9"/>
      <c r="V26" s="9"/>
      <c r="W26" s="9"/>
      <c r="X26" s="9"/>
      <c r="Y26" s="9"/>
      <c r="Z26" s="9"/>
      <c r="AA26" s="9"/>
      <c r="AB26" s="9"/>
      <c r="AC26" s="9"/>
      <c r="AD26" s="9"/>
    </row>
    <row r="27" spans="1:30" ht="14.25" customHeight="1" x14ac:dyDescent="0.3">
      <c r="A27" s="1"/>
      <c r="B27" t="s">
        <v>73</v>
      </c>
      <c r="C27" s="23">
        <v>45</v>
      </c>
      <c r="D27" s="5" t="s">
        <v>67</v>
      </c>
      <c r="E27" s="5" t="s">
        <v>95</v>
      </c>
      <c r="F27" s="9"/>
      <c r="G27" s="9"/>
      <c r="H27" s="9"/>
      <c r="I27" s="9"/>
      <c r="J27" s="9"/>
      <c r="K27" s="9"/>
      <c r="L27" s="9"/>
      <c r="M27" s="9"/>
      <c r="N27" s="9"/>
      <c r="O27" s="9"/>
      <c r="P27" s="9"/>
      <c r="Q27" s="9"/>
      <c r="R27" s="9"/>
      <c r="S27" s="9"/>
      <c r="T27" s="9"/>
      <c r="U27" s="9"/>
      <c r="V27" s="9"/>
      <c r="W27" s="9"/>
      <c r="X27" s="9"/>
      <c r="Y27" s="9"/>
      <c r="Z27" s="9"/>
      <c r="AA27" s="9"/>
      <c r="AB27" s="9"/>
      <c r="AC27" s="9"/>
      <c r="AD27" s="9"/>
    </row>
    <row r="28" spans="1:30" ht="14.25" customHeight="1" x14ac:dyDescent="0.3">
      <c r="A28" s="1"/>
      <c r="B28" t="s">
        <v>77</v>
      </c>
      <c r="C28" s="24">
        <v>0.25</v>
      </c>
      <c r="D28" s="5" t="s">
        <v>70</v>
      </c>
      <c r="E28" s="1"/>
      <c r="F28" s="9"/>
      <c r="G28" s="9"/>
      <c r="H28" s="9"/>
      <c r="I28" s="9"/>
      <c r="J28" s="9"/>
      <c r="K28" s="9"/>
      <c r="L28" s="9"/>
      <c r="M28" s="9"/>
      <c r="N28" s="9"/>
      <c r="O28" s="9"/>
      <c r="P28" s="9"/>
      <c r="Q28" s="9"/>
      <c r="R28" s="9"/>
      <c r="S28" s="9"/>
      <c r="T28" s="9"/>
      <c r="U28" s="9"/>
      <c r="V28" s="9"/>
      <c r="W28" s="9"/>
      <c r="X28" s="9"/>
      <c r="Y28" s="9"/>
      <c r="Z28" s="9"/>
      <c r="AA28" s="9"/>
      <c r="AB28" s="9"/>
      <c r="AC28" s="9"/>
      <c r="AD28" s="9"/>
    </row>
    <row r="29" spans="1:30" ht="14.25" customHeight="1" x14ac:dyDescent="0.3">
      <c r="A29" s="1"/>
      <c r="B29" t="s">
        <v>78</v>
      </c>
      <c r="C29" s="23">
        <v>18</v>
      </c>
      <c r="D29" s="5" t="s">
        <v>79</v>
      </c>
      <c r="E29" s="5" t="s">
        <v>96</v>
      </c>
      <c r="F29" s="9"/>
      <c r="G29" s="9"/>
      <c r="H29" s="9"/>
      <c r="I29" s="9"/>
      <c r="J29" s="9"/>
      <c r="K29" s="9"/>
      <c r="L29" s="9"/>
      <c r="M29" s="9"/>
      <c r="N29" s="9"/>
      <c r="O29" s="9"/>
      <c r="P29" s="9"/>
      <c r="Q29" s="9"/>
      <c r="R29" s="9"/>
      <c r="S29" s="9"/>
      <c r="T29" s="9"/>
      <c r="U29" s="9"/>
      <c r="V29" s="9"/>
      <c r="W29" s="9"/>
      <c r="X29" s="9"/>
      <c r="Y29" s="9"/>
      <c r="Z29" s="9"/>
      <c r="AA29" s="9"/>
      <c r="AB29" s="9"/>
      <c r="AC29" s="9"/>
      <c r="AD29" s="9"/>
    </row>
    <row r="30" spans="1:30" ht="14.25" customHeight="1" x14ac:dyDescent="0.3">
      <c r="A30" s="1"/>
      <c r="B30" t="s">
        <v>80</v>
      </c>
      <c r="C30" s="23">
        <v>100</v>
      </c>
      <c r="D30" s="5" t="s">
        <v>81</v>
      </c>
      <c r="E30" s="1"/>
      <c r="F30" s="9"/>
      <c r="G30" s="9"/>
      <c r="H30" s="9"/>
      <c r="I30" s="9"/>
      <c r="J30" s="9"/>
      <c r="K30" s="9"/>
      <c r="L30" s="9"/>
      <c r="M30" s="9"/>
      <c r="N30" s="9"/>
      <c r="O30" s="9"/>
      <c r="P30" s="9"/>
      <c r="Q30" s="9"/>
      <c r="R30" s="9"/>
      <c r="S30" s="9"/>
      <c r="T30" s="9"/>
      <c r="U30" s="9"/>
      <c r="V30" s="9"/>
      <c r="W30" s="9"/>
      <c r="X30" s="9"/>
      <c r="Y30" s="9"/>
      <c r="Z30" s="9"/>
      <c r="AA30" s="9"/>
      <c r="AB30" s="9"/>
      <c r="AC30" s="9"/>
      <c r="AD30" s="9"/>
    </row>
    <row r="31" spans="1:30" ht="14.25" customHeight="1" x14ac:dyDescent="0.3">
      <c r="A31" s="1"/>
      <c r="B31" t="s">
        <v>97</v>
      </c>
      <c r="C31" s="23">
        <v>0</v>
      </c>
      <c r="D31" s="5" t="s">
        <v>67</v>
      </c>
      <c r="E31" s="5" t="s">
        <v>98</v>
      </c>
      <c r="F31" s="9"/>
      <c r="G31" s="9"/>
      <c r="H31" s="9"/>
      <c r="I31" s="9"/>
      <c r="J31" s="9"/>
      <c r="K31" s="9"/>
      <c r="L31" s="9"/>
      <c r="M31" s="9"/>
      <c r="N31" s="9"/>
      <c r="O31" s="9"/>
      <c r="P31" s="9"/>
      <c r="Q31" s="9"/>
      <c r="R31" s="9"/>
      <c r="S31" s="9"/>
      <c r="T31" s="9"/>
      <c r="U31" s="9"/>
      <c r="V31" s="9"/>
      <c r="W31" s="9"/>
      <c r="X31" s="9"/>
      <c r="Y31" s="9"/>
      <c r="Z31" s="9"/>
      <c r="AA31" s="9"/>
      <c r="AB31" s="9"/>
      <c r="AC31" s="9"/>
      <c r="AD31" s="9"/>
    </row>
    <row r="32" spans="1:30" ht="14.25" customHeight="1" x14ac:dyDescent="0.3">
      <c r="A32" s="1"/>
      <c r="B32" s="1"/>
      <c r="C32" s="1"/>
      <c r="D32" s="1"/>
      <c r="E32" s="1"/>
      <c r="F32" s="9"/>
      <c r="G32" s="9"/>
      <c r="H32" s="9"/>
      <c r="I32" s="9"/>
      <c r="J32" s="9"/>
      <c r="K32" s="9"/>
      <c r="L32" s="9"/>
      <c r="M32" s="9"/>
      <c r="N32" s="9"/>
      <c r="O32" s="9"/>
      <c r="P32" s="9"/>
      <c r="Q32" s="9"/>
      <c r="R32" s="9"/>
      <c r="S32" s="9"/>
      <c r="T32" s="9"/>
      <c r="U32" s="9"/>
      <c r="V32" s="9"/>
      <c r="W32" s="9"/>
      <c r="X32" s="9"/>
      <c r="Y32" s="9"/>
      <c r="Z32" s="9"/>
      <c r="AA32" s="9"/>
      <c r="AB32" s="9"/>
      <c r="AC32" s="9"/>
      <c r="AD32" s="9"/>
    </row>
    <row r="33" spans="1:30" ht="14.25" customHeight="1" x14ac:dyDescent="0.3">
      <c r="A33" s="1"/>
      <c r="B33" s="2" t="s">
        <v>99</v>
      </c>
      <c r="C33" s="3"/>
      <c r="D33" s="3"/>
      <c r="E33" s="3"/>
      <c r="F33" s="9"/>
      <c r="G33" s="9"/>
      <c r="H33" s="9"/>
      <c r="I33" s="9"/>
      <c r="J33" s="9"/>
      <c r="K33" s="9"/>
      <c r="L33" s="9"/>
      <c r="M33" s="9"/>
      <c r="N33" s="9"/>
      <c r="O33" s="9"/>
      <c r="P33" s="9"/>
      <c r="Q33" s="9"/>
      <c r="R33" s="9"/>
      <c r="S33" s="9"/>
      <c r="T33" s="9"/>
      <c r="U33" s="9"/>
      <c r="V33" s="9"/>
      <c r="W33" s="9"/>
      <c r="X33" s="9"/>
      <c r="Y33" s="9"/>
      <c r="Z33" s="9"/>
      <c r="AA33" s="9"/>
      <c r="AB33" s="9"/>
      <c r="AC33" s="9"/>
      <c r="AD33" s="9"/>
    </row>
    <row r="34" spans="1:30" ht="14.25" customHeight="1" x14ac:dyDescent="0.3">
      <c r="A34" s="1"/>
      <c r="B34" t="s">
        <v>27</v>
      </c>
      <c r="C34" s="80">
        <f>Sensitivity!J9</f>
        <v>0.25</v>
      </c>
      <c r="D34" s="5" t="s">
        <v>70</v>
      </c>
      <c r="E34" s="1"/>
      <c r="F34" s="9"/>
      <c r="G34" s="9"/>
      <c r="H34" s="9"/>
      <c r="I34" s="9"/>
      <c r="J34" s="9"/>
      <c r="K34" s="9"/>
      <c r="L34" s="9"/>
      <c r="M34" s="9"/>
      <c r="N34" s="9"/>
      <c r="O34" s="9"/>
      <c r="P34" s="9"/>
      <c r="Q34" s="9"/>
      <c r="R34" s="9"/>
      <c r="S34" s="9"/>
      <c r="T34" s="9"/>
      <c r="U34" s="9"/>
      <c r="V34" s="9"/>
      <c r="W34" s="9"/>
      <c r="X34" s="9"/>
      <c r="Y34" s="9"/>
      <c r="Z34" s="9"/>
      <c r="AA34" s="9"/>
      <c r="AB34" s="9"/>
      <c r="AC34" s="9"/>
      <c r="AD34" s="9"/>
    </row>
    <row r="35" spans="1:30" ht="14.25" customHeight="1" x14ac:dyDescent="0.3">
      <c r="A35" s="1"/>
      <c r="B35" t="s">
        <v>100</v>
      </c>
      <c r="C35" s="80">
        <f>Sensitivity!J10</f>
        <v>0.6</v>
      </c>
      <c r="D35" s="5" t="s">
        <v>70</v>
      </c>
      <c r="E35" s="5" t="s">
        <v>101</v>
      </c>
      <c r="F35" s="9"/>
      <c r="G35" s="9"/>
      <c r="H35" s="9"/>
      <c r="I35" s="9"/>
      <c r="J35" s="9"/>
      <c r="K35" s="9"/>
      <c r="L35" s="9"/>
      <c r="M35" s="9"/>
      <c r="N35" s="9"/>
      <c r="O35" s="9"/>
      <c r="P35" s="9"/>
      <c r="Q35" s="9"/>
      <c r="R35" s="9"/>
      <c r="S35" s="9"/>
      <c r="T35" s="9"/>
      <c r="U35" s="9"/>
      <c r="V35" s="9"/>
      <c r="W35" s="9"/>
      <c r="X35" s="9"/>
      <c r="Y35" s="9"/>
      <c r="Z35" s="9"/>
      <c r="AA35" s="9"/>
      <c r="AB35" s="9"/>
      <c r="AC35" s="9"/>
      <c r="AD35" s="9"/>
    </row>
    <row r="36" spans="1:30" ht="14.25" customHeight="1" x14ac:dyDescent="0.3">
      <c r="A36" s="1"/>
      <c r="B36" t="s">
        <v>102</v>
      </c>
      <c r="C36" s="23">
        <v>65</v>
      </c>
      <c r="D36" s="5" t="s">
        <v>67</v>
      </c>
      <c r="E36" s="5" t="s">
        <v>103</v>
      </c>
      <c r="F36" s="9"/>
      <c r="G36" s="9"/>
      <c r="H36" s="9"/>
      <c r="I36" s="9"/>
      <c r="J36" s="9"/>
      <c r="K36" s="9"/>
      <c r="L36" s="9"/>
      <c r="M36" s="9"/>
      <c r="N36" s="9"/>
      <c r="O36" s="9"/>
      <c r="P36" s="9"/>
      <c r="Q36" s="9"/>
      <c r="R36" s="9"/>
      <c r="S36" s="9"/>
      <c r="T36" s="9"/>
      <c r="U36" s="9"/>
      <c r="V36" s="9"/>
      <c r="W36" s="9"/>
      <c r="X36" s="9"/>
      <c r="Y36" s="9"/>
      <c r="Z36" s="9"/>
      <c r="AA36" s="9"/>
      <c r="AB36" s="9"/>
      <c r="AC36" s="9"/>
      <c r="AD36" s="9"/>
    </row>
    <row r="37" spans="1:30" ht="14.25" customHeight="1" x14ac:dyDescent="0.3">
      <c r="A37" s="1"/>
      <c r="B37" t="s">
        <v>104</v>
      </c>
      <c r="C37" s="23">
        <v>50</v>
      </c>
      <c r="D37" s="5" t="s">
        <v>67</v>
      </c>
      <c r="E37" s="5" t="s">
        <v>105</v>
      </c>
      <c r="F37" s="9"/>
      <c r="G37" s="9"/>
      <c r="H37" s="9"/>
      <c r="I37" s="9"/>
      <c r="J37" s="9"/>
      <c r="K37" s="9"/>
      <c r="L37" s="9"/>
      <c r="M37" s="9"/>
      <c r="N37" s="9"/>
      <c r="O37" s="9"/>
      <c r="P37" s="9"/>
      <c r="Q37" s="9"/>
      <c r="R37" s="9"/>
      <c r="S37" s="9"/>
      <c r="T37" s="9"/>
      <c r="U37" s="9"/>
      <c r="V37" s="9"/>
      <c r="W37" s="9"/>
      <c r="X37" s="9"/>
      <c r="Y37" s="9"/>
      <c r="Z37" s="9"/>
      <c r="AA37" s="9"/>
      <c r="AB37" s="9"/>
      <c r="AC37" s="9"/>
      <c r="AD37" s="9"/>
    </row>
    <row r="38" spans="1:30" ht="14.25" customHeight="1" x14ac:dyDescent="0.3">
      <c r="A38" s="1"/>
      <c r="B38" t="s">
        <v>106</v>
      </c>
      <c r="C38" s="23">
        <v>1500</v>
      </c>
      <c r="D38" s="5" t="s">
        <v>67</v>
      </c>
      <c r="E38" s="5" t="s">
        <v>107</v>
      </c>
      <c r="F38" s="9"/>
      <c r="G38" s="9"/>
      <c r="H38" s="9"/>
      <c r="I38" s="9"/>
      <c r="J38" s="9"/>
      <c r="K38" s="9"/>
      <c r="L38" s="9"/>
      <c r="M38" s="9"/>
      <c r="N38" s="9"/>
      <c r="O38" s="9"/>
      <c r="P38" s="9"/>
      <c r="Q38" s="9"/>
      <c r="R38" s="9"/>
      <c r="S38" s="9"/>
      <c r="T38" s="9"/>
      <c r="U38" s="9"/>
      <c r="V38" s="9"/>
      <c r="W38" s="9"/>
      <c r="X38" s="9"/>
      <c r="Y38" s="9"/>
      <c r="Z38" s="9"/>
      <c r="AA38" s="9"/>
      <c r="AB38" s="9"/>
      <c r="AC38" s="9"/>
      <c r="AD38" s="9"/>
    </row>
    <row r="39" spans="1:30" ht="14.25" customHeight="1" x14ac:dyDescent="0.3">
      <c r="A39" s="1"/>
      <c r="B39" t="s">
        <v>108</v>
      </c>
      <c r="C39" s="25" t="b">
        <f>FALSE()</f>
        <v>0</v>
      </c>
      <c r="D39" s="5" t="s">
        <v>109</v>
      </c>
      <c r="E39" s="5" t="s">
        <v>110</v>
      </c>
      <c r="F39" s="9"/>
      <c r="G39" s="9"/>
      <c r="H39" s="9"/>
      <c r="I39" s="9"/>
      <c r="J39" s="9"/>
      <c r="K39" s="9"/>
      <c r="L39" s="9"/>
      <c r="M39" s="9"/>
      <c r="N39" s="9"/>
      <c r="O39" s="9"/>
      <c r="P39" s="9"/>
      <c r="Q39" s="9"/>
      <c r="R39" s="9"/>
      <c r="S39" s="9"/>
      <c r="T39" s="9"/>
      <c r="U39" s="9"/>
      <c r="V39" s="9"/>
      <c r="W39" s="9"/>
      <c r="X39" s="9"/>
      <c r="Y39" s="9"/>
      <c r="Z39" s="9"/>
      <c r="AA39" s="9"/>
      <c r="AB39" s="9"/>
      <c r="AC39" s="9"/>
      <c r="AD39" s="9"/>
    </row>
    <row r="40" spans="1:30" ht="14.25" customHeight="1" x14ac:dyDescent="0.3">
      <c r="A40" s="1"/>
      <c r="B40" t="s">
        <v>111</v>
      </c>
      <c r="C40" s="23">
        <v>10</v>
      </c>
      <c r="D40" s="5" t="s">
        <v>112</v>
      </c>
      <c r="E40" s="5" t="s">
        <v>113</v>
      </c>
      <c r="F40" s="9"/>
      <c r="G40" s="9"/>
      <c r="H40" s="9"/>
      <c r="I40" s="9"/>
      <c r="J40" s="9"/>
      <c r="K40" s="9"/>
      <c r="L40" s="9"/>
      <c r="M40" s="9"/>
      <c r="N40" s="9"/>
      <c r="O40" s="9"/>
      <c r="P40" s="9"/>
      <c r="Q40" s="9"/>
      <c r="R40" s="9"/>
      <c r="S40" s="9"/>
      <c r="T40" s="9"/>
      <c r="U40" s="9"/>
      <c r="V40" s="9"/>
      <c r="W40" s="9"/>
      <c r="X40" s="9"/>
      <c r="Y40" s="9"/>
      <c r="Z40" s="9"/>
      <c r="AA40" s="9"/>
      <c r="AB40" s="9"/>
      <c r="AC40" s="9"/>
      <c r="AD40" s="9"/>
    </row>
    <row r="41" spans="1:30" ht="14.25" customHeight="1" x14ac:dyDescent="0.3">
      <c r="A41" s="1"/>
      <c r="B41" s="1"/>
      <c r="C41" s="1"/>
      <c r="D41" s="1"/>
      <c r="E41" s="1"/>
      <c r="F41" s="9"/>
      <c r="G41" s="9"/>
      <c r="H41" s="9"/>
      <c r="I41" s="9"/>
      <c r="J41" s="9"/>
      <c r="K41" s="9"/>
      <c r="L41" s="9"/>
      <c r="M41" s="9"/>
      <c r="N41" s="9"/>
      <c r="O41" s="9"/>
      <c r="P41" s="9"/>
      <c r="Q41" s="9"/>
      <c r="R41" s="9"/>
      <c r="S41" s="9"/>
      <c r="T41" s="9"/>
      <c r="U41" s="9"/>
      <c r="V41" s="9"/>
      <c r="W41" s="9"/>
      <c r="X41" s="9"/>
      <c r="Y41" s="9"/>
      <c r="Z41" s="9"/>
      <c r="AA41" s="9"/>
      <c r="AB41" s="9"/>
      <c r="AC41" s="9"/>
      <c r="AD41" s="9"/>
    </row>
    <row r="42" spans="1:30" ht="14.25" customHeight="1" x14ac:dyDescent="0.3">
      <c r="A42" s="1"/>
      <c r="B42" s="2" t="s">
        <v>114</v>
      </c>
      <c r="C42" s="3"/>
      <c r="D42" s="3"/>
      <c r="E42" s="3"/>
      <c r="F42" s="9"/>
      <c r="G42" s="9"/>
      <c r="H42" s="9"/>
      <c r="I42" s="9"/>
      <c r="J42" s="9"/>
      <c r="K42" s="9"/>
      <c r="L42" s="9"/>
      <c r="M42" s="9"/>
      <c r="N42" s="9"/>
      <c r="O42" s="9"/>
      <c r="P42" s="9"/>
      <c r="Q42" s="9"/>
      <c r="R42" s="9"/>
      <c r="S42" s="9"/>
      <c r="T42" s="9"/>
      <c r="U42" s="9"/>
      <c r="V42" s="9"/>
      <c r="W42" s="9"/>
      <c r="X42" s="9"/>
      <c r="Y42" s="9"/>
      <c r="Z42" s="9"/>
      <c r="AA42" s="9"/>
      <c r="AB42" s="9"/>
      <c r="AC42" s="9"/>
      <c r="AD42" s="9"/>
    </row>
    <row r="43" spans="1:30" ht="14.25" customHeight="1" x14ac:dyDescent="0.3">
      <c r="A43" s="1"/>
      <c r="B43" t="s">
        <v>115</v>
      </c>
      <c r="C43" s="24">
        <v>5.5E-2</v>
      </c>
      <c r="D43" s="5" t="s">
        <v>70</v>
      </c>
      <c r="E43" s="1"/>
      <c r="F43" s="9"/>
      <c r="G43" s="9"/>
      <c r="H43" s="9"/>
      <c r="I43" s="9"/>
      <c r="J43" s="9"/>
      <c r="K43" s="9"/>
      <c r="L43" s="9"/>
      <c r="M43" s="9"/>
      <c r="N43" s="9"/>
      <c r="O43" s="9"/>
      <c r="P43" s="9"/>
      <c r="Q43" s="9"/>
      <c r="R43" s="9"/>
      <c r="S43" s="9"/>
      <c r="T43" s="9"/>
      <c r="U43" s="9"/>
      <c r="V43" s="9"/>
      <c r="W43" s="9"/>
      <c r="X43" s="9"/>
      <c r="Y43" s="9"/>
      <c r="Z43" s="9"/>
      <c r="AA43" s="9"/>
      <c r="AB43" s="9"/>
      <c r="AC43" s="9"/>
      <c r="AD43" s="9"/>
    </row>
    <row r="44" spans="1:30" ht="14.25" customHeight="1" x14ac:dyDescent="0.3">
      <c r="A44" s="1"/>
      <c r="B44" t="s">
        <v>116</v>
      </c>
      <c r="C44" s="23">
        <v>7</v>
      </c>
      <c r="D44" s="5" t="s">
        <v>112</v>
      </c>
      <c r="E44" s="5" t="s">
        <v>117</v>
      </c>
      <c r="F44" s="9"/>
      <c r="G44" s="9"/>
      <c r="H44" s="9"/>
      <c r="I44" s="9"/>
      <c r="J44" s="9"/>
      <c r="K44" s="9"/>
      <c r="L44" s="9"/>
      <c r="M44" s="9"/>
      <c r="N44" s="9"/>
      <c r="O44" s="9"/>
      <c r="P44" s="9"/>
      <c r="Q44" s="9"/>
      <c r="R44" s="9"/>
      <c r="S44" s="9"/>
      <c r="T44" s="9"/>
      <c r="U44" s="9"/>
      <c r="V44" s="9"/>
      <c r="W44" s="9"/>
      <c r="X44" s="9"/>
      <c r="Y44" s="9"/>
      <c r="Z44" s="9"/>
      <c r="AA44" s="9"/>
      <c r="AB44" s="9"/>
      <c r="AC44" s="9"/>
      <c r="AD44" s="9"/>
    </row>
    <row r="45" spans="1:30" ht="14.25" customHeight="1" x14ac:dyDescent="0.3">
      <c r="A45" s="1"/>
      <c r="B45" t="s">
        <v>118</v>
      </c>
      <c r="C45" s="24">
        <v>0.1</v>
      </c>
      <c r="D45" s="5" t="s">
        <v>70</v>
      </c>
      <c r="E45" s="5" t="s">
        <v>119</v>
      </c>
      <c r="F45" s="9"/>
      <c r="G45" s="9"/>
      <c r="H45" s="9"/>
      <c r="I45" s="9"/>
      <c r="J45" s="9"/>
      <c r="K45" s="9"/>
      <c r="L45" s="9"/>
      <c r="M45" s="9"/>
      <c r="N45" s="9"/>
      <c r="O45" s="9"/>
      <c r="P45" s="9"/>
      <c r="Q45" s="9"/>
      <c r="R45" s="9"/>
      <c r="S45" s="9"/>
      <c r="T45" s="9"/>
      <c r="U45" s="9"/>
      <c r="V45" s="9"/>
      <c r="W45" s="9"/>
      <c r="X45" s="9"/>
      <c r="Y45" s="9"/>
      <c r="Z45" s="9"/>
      <c r="AA45" s="9"/>
      <c r="AB45" s="9"/>
      <c r="AC45" s="9"/>
      <c r="AD45" s="9"/>
    </row>
    <row r="46" spans="1:30" ht="14.25" customHeight="1" x14ac:dyDescent="0.3">
      <c r="A46" s="1"/>
      <c r="B46" t="s">
        <v>120</v>
      </c>
      <c r="C46" s="24">
        <v>0.03</v>
      </c>
      <c r="D46" s="5" t="s">
        <v>70</v>
      </c>
      <c r="E46" s="5" t="s">
        <v>121</v>
      </c>
      <c r="F46" s="9"/>
      <c r="G46" s="9"/>
      <c r="H46" s="9"/>
      <c r="I46" s="9"/>
      <c r="J46" s="9"/>
      <c r="K46" s="9"/>
      <c r="L46" s="9"/>
      <c r="M46" s="9"/>
      <c r="N46" s="9"/>
      <c r="O46" s="9"/>
      <c r="P46" s="9"/>
      <c r="Q46" s="9"/>
      <c r="R46" s="9"/>
      <c r="S46" s="9"/>
      <c r="T46" s="9"/>
      <c r="U46" s="9"/>
      <c r="V46" s="9"/>
      <c r="W46" s="9"/>
      <c r="X46" s="9"/>
      <c r="Y46" s="9"/>
      <c r="Z46" s="9"/>
      <c r="AA46" s="9"/>
      <c r="AB46" s="9"/>
      <c r="AC46" s="9"/>
      <c r="AD46" s="9"/>
    </row>
    <row r="47" spans="1:30" ht="14.25" customHeight="1" x14ac:dyDescent="0.3">
      <c r="A47" s="1"/>
      <c r="B47" t="s">
        <v>122</v>
      </c>
      <c r="C47" s="23">
        <v>2</v>
      </c>
      <c r="D47" s="5" t="s">
        <v>112</v>
      </c>
      <c r="E47" s="5" t="s">
        <v>123</v>
      </c>
      <c r="F47" s="9"/>
      <c r="G47" s="9"/>
      <c r="H47" s="9"/>
      <c r="I47" s="9"/>
      <c r="J47" s="9"/>
      <c r="K47" s="9"/>
      <c r="L47" s="9"/>
      <c r="M47" s="9"/>
      <c r="N47" s="9"/>
      <c r="O47" s="9"/>
      <c r="P47" s="9"/>
      <c r="Q47" s="9"/>
      <c r="R47" s="9"/>
      <c r="S47" s="9"/>
      <c r="T47" s="9"/>
      <c r="U47" s="9"/>
      <c r="V47" s="9"/>
      <c r="W47" s="9"/>
      <c r="X47" s="9"/>
      <c r="Y47" s="9"/>
      <c r="Z47" s="9"/>
      <c r="AA47" s="9"/>
      <c r="AB47" s="9"/>
      <c r="AC47" s="9"/>
      <c r="AD47" s="9"/>
    </row>
    <row r="48" spans="1:30" ht="14.25" customHeight="1" x14ac:dyDescent="0.3">
      <c r="A48" s="1"/>
      <c r="B48" s="1"/>
      <c r="C48" s="1"/>
      <c r="D48" s="1"/>
      <c r="E48" s="1"/>
      <c r="F48" s="9"/>
      <c r="G48" s="9"/>
      <c r="H48" s="9"/>
      <c r="I48" s="9"/>
      <c r="J48" s="9"/>
      <c r="K48" s="9"/>
      <c r="L48" s="9"/>
      <c r="M48" s="9"/>
      <c r="N48" s="9"/>
      <c r="O48" s="9"/>
      <c r="P48" s="9"/>
      <c r="Q48" s="9"/>
      <c r="R48" s="9"/>
      <c r="S48" s="9"/>
      <c r="T48" s="9"/>
      <c r="U48" s="9"/>
      <c r="V48" s="9"/>
      <c r="W48" s="9"/>
      <c r="X48" s="9"/>
      <c r="Y48" s="9"/>
      <c r="Z48" s="9"/>
      <c r="AA48" s="9"/>
      <c r="AB48" s="9"/>
      <c r="AC48" s="9"/>
      <c r="AD48" s="9"/>
    </row>
    <row r="49" spans="1:30" ht="14.25" customHeight="1" x14ac:dyDescent="0.3">
      <c r="A49" s="1"/>
      <c r="B49" s="2" t="s">
        <v>124</v>
      </c>
      <c r="C49" s="3"/>
      <c r="D49" s="3"/>
      <c r="E49" s="3"/>
      <c r="F49" s="9"/>
      <c r="G49" s="9"/>
      <c r="H49" s="9"/>
      <c r="I49" s="9"/>
      <c r="J49" s="9"/>
      <c r="K49" s="9"/>
      <c r="L49" s="9"/>
      <c r="M49" s="9"/>
      <c r="N49" s="9"/>
      <c r="O49" s="9"/>
      <c r="P49" s="9"/>
      <c r="Q49" s="9"/>
      <c r="R49" s="9"/>
      <c r="S49" s="9"/>
      <c r="T49" s="9"/>
      <c r="U49" s="9"/>
      <c r="V49" s="9"/>
      <c r="W49" s="9"/>
      <c r="X49" s="9"/>
      <c r="Y49" s="9"/>
      <c r="Z49" s="9"/>
      <c r="AA49" s="9"/>
      <c r="AB49" s="9"/>
      <c r="AC49" s="9"/>
      <c r="AD49" s="9"/>
    </row>
    <row r="50" spans="1:30" ht="14.25" customHeight="1" x14ac:dyDescent="0.3">
      <c r="A50" s="1"/>
      <c r="B50" t="s">
        <v>125</v>
      </c>
      <c r="C50" s="23">
        <v>200</v>
      </c>
      <c r="D50" s="5" t="s">
        <v>126</v>
      </c>
      <c r="E50" s="5" t="s">
        <v>127</v>
      </c>
      <c r="F50" s="9"/>
      <c r="G50" s="9"/>
      <c r="H50" s="9"/>
      <c r="I50" s="9"/>
      <c r="J50" s="9"/>
      <c r="K50" s="9"/>
      <c r="L50" s="9"/>
      <c r="M50" s="9"/>
      <c r="N50" s="9"/>
      <c r="O50" s="9"/>
      <c r="P50" s="9"/>
      <c r="Q50" s="9"/>
      <c r="R50" s="9"/>
      <c r="S50" s="9"/>
      <c r="T50" s="9"/>
      <c r="U50" s="9"/>
      <c r="V50" s="9"/>
      <c r="W50" s="9"/>
      <c r="X50" s="9"/>
      <c r="Y50" s="9"/>
      <c r="Z50" s="9"/>
      <c r="AA50" s="9"/>
      <c r="AB50" s="9"/>
      <c r="AC50" s="9"/>
      <c r="AD50" s="9"/>
    </row>
    <row r="51" spans="1:30" ht="14.25" customHeight="1" x14ac:dyDescent="0.3">
      <c r="A51" s="1"/>
      <c r="B51" t="s">
        <v>128</v>
      </c>
      <c r="C51" s="24">
        <v>0.2</v>
      </c>
      <c r="D51" s="5" t="s">
        <v>70</v>
      </c>
      <c r="E51" s="5" t="s">
        <v>129</v>
      </c>
      <c r="F51" s="9"/>
      <c r="G51" s="9"/>
      <c r="H51" s="9"/>
      <c r="I51" s="9"/>
      <c r="J51" s="9"/>
      <c r="K51" s="9"/>
      <c r="L51" s="9"/>
      <c r="M51" s="9"/>
      <c r="N51" s="9"/>
      <c r="O51" s="9"/>
      <c r="P51" s="9"/>
      <c r="Q51" s="9"/>
      <c r="R51" s="9"/>
      <c r="S51" s="9"/>
      <c r="T51" s="9"/>
      <c r="U51" s="9"/>
      <c r="V51" s="9"/>
      <c r="W51" s="9"/>
      <c r="X51" s="9"/>
      <c r="Y51" s="9"/>
      <c r="Z51" s="9"/>
      <c r="AA51" s="9"/>
      <c r="AB51" s="9"/>
      <c r="AC51" s="9"/>
      <c r="AD51" s="9"/>
    </row>
    <row r="52" spans="1:30" ht="14.25" customHeight="1" x14ac:dyDescent="0.3">
      <c r="A52" s="1"/>
      <c r="B52" t="s">
        <v>130</v>
      </c>
      <c r="C52" s="79">
        <f>Sensitivity!J8</f>
        <v>150</v>
      </c>
      <c r="D52" s="5" t="s">
        <v>126</v>
      </c>
      <c r="E52" s="5" t="s">
        <v>127</v>
      </c>
      <c r="F52" s="9"/>
      <c r="G52" s="9"/>
      <c r="H52" s="9"/>
      <c r="I52" s="9"/>
      <c r="J52" s="9"/>
      <c r="K52" s="9"/>
      <c r="L52" s="9"/>
      <c r="M52" s="9"/>
      <c r="N52" s="9"/>
      <c r="O52" s="9"/>
      <c r="P52" s="9"/>
      <c r="Q52" s="9"/>
      <c r="R52" s="9"/>
      <c r="S52" s="9"/>
      <c r="T52" s="9"/>
      <c r="U52" s="9"/>
      <c r="V52" s="9"/>
      <c r="W52" s="9"/>
      <c r="X52" s="9"/>
      <c r="Y52" s="9"/>
      <c r="Z52" s="9"/>
      <c r="AA52" s="9"/>
      <c r="AB52" s="9"/>
      <c r="AC52" s="9"/>
      <c r="AD52" s="9"/>
    </row>
    <row r="53" spans="1:30" ht="14.25" customHeight="1" x14ac:dyDescent="0.3">
      <c r="A53" s="1"/>
      <c r="B53" t="s">
        <v>131</v>
      </c>
      <c r="C53" s="24">
        <v>0.25</v>
      </c>
      <c r="D53" s="5" t="s">
        <v>70</v>
      </c>
      <c r="E53" s="1"/>
      <c r="F53" s="9"/>
      <c r="G53" s="9"/>
      <c r="H53" s="9"/>
      <c r="I53" s="9"/>
      <c r="J53" s="9"/>
      <c r="K53" s="9"/>
      <c r="L53" s="9"/>
      <c r="M53" s="9"/>
      <c r="N53" s="9"/>
      <c r="O53" s="9"/>
      <c r="P53" s="9"/>
      <c r="Q53" s="9"/>
      <c r="R53" s="9"/>
      <c r="S53" s="9"/>
      <c r="T53" s="9"/>
      <c r="U53" s="9"/>
      <c r="V53" s="9"/>
      <c r="W53" s="9"/>
      <c r="X53" s="9"/>
      <c r="Y53" s="9"/>
      <c r="Z53" s="9"/>
      <c r="AA53" s="9"/>
      <c r="AB53" s="9"/>
      <c r="AC53" s="9"/>
      <c r="AD53" s="9"/>
    </row>
    <row r="54" spans="1:30" ht="14.25" customHeight="1" x14ac:dyDescent="0.3">
      <c r="A54" s="1"/>
      <c r="B54" t="s">
        <v>132</v>
      </c>
      <c r="C54" s="24">
        <v>0.5</v>
      </c>
      <c r="D54" s="5" t="s">
        <v>70</v>
      </c>
      <c r="E54" s="1"/>
      <c r="F54" s="9"/>
      <c r="G54" s="9"/>
      <c r="H54" s="9"/>
      <c r="I54" s="9"/>
      <c r="J54" s="9"/>
      <c r="K54" s="9"/>
      <c r="L54" s="9"/>
      <c r="M54" s="9"/>
      <c r="N54" s="9"/>
      <c r="O54" s="9"/>
      <c r="P54" s="9"/>
      <c r="Q54" s="9"/>
      <c r="R54" s="9"/>
      <c r="S54" s="9"/>
      <c r="T54" s="9"/>
      <c r="U54" s="9"/>
      <c r="V54" s="9"/>
      <c r="W54" s="9"/>
      <c r="X54" s="9"/>
      <c r="Y54" s="9"/>
      <c r="Z54" s="9"/>
      <c r="AA54" s="9"/>
      <c r="AB54" s="9"/>
      <c r="AC54" s="9"/>
      <c r="AD54" s="9"/>
    </row>
    <row r="55" spans="1:30" ht="14.25" customHeight="1" x14ac:dyDescent="0.3">
      <c r="A55" s="1"/>
      <c r="B55" t="s">
        <v>133</v>
      </c>
      <c r="C55" s="24">
        <v>0.75</v>
      </c>
      <c r="D55" s="5" t="s">
        <v>70</v>
      </c>
      <c r="E55" s="1"/>
      <c r="F55" s="9"/>
      <c r="G55" s="9"/>
      <c r="H55" s="9"/>
      <c r="I55" s="9"/>
      <c r="J55" s="9"/>
      <c r="K55" s="9"/>
      <c r="L55" s="9"/>
      <c r="M55" s="9"/>
      <c r="N55" s="9"/>
      <c r="O55" s="9"/>
      <c r="P55" s="9"/>
      <c r="Q55" s="9"/>
      <c r="R55" s="9"/>
      <c r="S55" s="9"/>
      <c r="T55" s="9"/>
      <c r="U55" s="9"/>
      <c r="V55" s="9"/>
      <c r="W55" s="9"/>
      <c r="X55" s="9"/>
      <c r="Y55" s="9"/>
      <c r="Z55" s="9"/>
      <c r="AA55" s="9"/>
      <c r="AB55" s="9"/>
      <c r="AC55" s="9"/>
      <c r="AD55" s="9"/>
    </row>
    <row r="56" spans="1:30" ht="14.25" customHeight="1" x14ac:dyDescent="0.3">
      <c r="A56" s="1"/>
      <c r="B56" t="s">
        <v>134</v>
      </c>
      <c r="C56" s="24">
        <v>1</v>
      </c>
      <c r="D56" s="5" t="s">
        <v>70</v>
      </c>
      <c r="E56" s="1"/>
      <c r="F56" s="9"/>
      <c r="G56" s="9"/>
      <c r="H56" s="9"/>
      <c r="I56" s="9"/>
      <c r="J56" s="9"/>
      <c r="K56" s="9"/>
      <c r="L56" s="9"/>
      <c r="M56" s="9"/>
      <c r="N56" s="9"/>
      <c r="O56" s="9"/>
      <c r="P56" s="9"/>
      <c r="Q56" s="9"/>
      <c r="R56" s="9"/>
      <c r="S56" s="9"/>
      <c r="T56" s="9"/>
      <c r="U56" s="9"/>
      <c r="V56" s="9"/>
      <c r="W56" s="9"/>
      <c r="X56" s="9"/>
      <c r="Y56" s="9"/>
      <c r="Z56" s="9"/>
      <c r="AA56" s="9"/>
      <c r="AB56" s="9"/>
      <c r="AC56" s="9"/>
      <c r="AD56" s="9"/>
    </row>
    <row r="57" spans="1:30" ht="14.25" customHeight="1" x14ac:dyDescent="0.3">
      <c r="A57" s="1"/>
      <c r="B57" t="s">
        <v>135</v>
      </c>
      <c r="C57" s="24">
        <v>1</v>
      </c>
      <c r="D57" s="5" t="s">
        <v>70</v>
      </c>
      <c r="E57" s="1"/>
      <c r="F57" s="9"/>
      <c r="G57" s="9"/>
      <c r="H57" s="9"/>
      <c r="I57" s="9"/>
      <c r="J57" s="9"/>
      <c r="K57" s="9"/>
      <c r="L57" s="9"/>
      <c r="M57" s="9"/>
      <c r="N57" s="9"/>
      <c r="O57" s="9"/>
      <c r="P57" s="9"/>
      <c r="Q57" s="9"/>
      <c r="R57" s="9"/>
      <c r="S57" s="9"/>
      <c r="T57" s="9"/>
      <c r="U57" s="9"/>
      <c r="V57" s="9"/>
      <c r="W57" s="9"/>
      <c r="X57" s="9"/>
      <c r="Y57" s="9"/>
      <c r="Z57" s="9"/>
      <c r="AA57" s="9"/>
      <c r="AB57" s="9"/>
      <c r="AC57" s="9"/>
      <c r="AD57" s="9"/>
    </row>
    <row r="58" spans="1:30" ht="14.25" customHeight="1" x14ac:dyDescent="0.3">
      <c r="A58" s="1"/>
      <c r="B58" s="1"/>
      <c r="C58" s="1"/>
      <c r="D58" s="1"/>
      <c r="E58" s="1"/>
      <c r="F58" s="9"/>
      <c r="G58" s="9"/>
      <c r="H58" s="9"/>
      <c r="I58" s="9"/>
      <c r="J58" s="9"/>
      <c r="K58" s="9"/>
      <c r="L58" s="9"/>
      <c r="M58" s="9"/>
      <c r="N58" s="9"/>
      <c r="O58" s="9"/>
      <c r="P58" s="9"/>
      <c r="Q58" s="9"/>
      <c r="R58" s="9"/>
      <c r="S58" s="9"/>
      <c r="T58" s="9"/>
      <c r="U58" s="9"/>
      <c r="V58" s="9"/>
      <c r="W58" s="9"/>
      <c r="X58" s="9"/>
      <c r="Y58" s="9"/>
      <c r="Z58" s="9"/>
      <c r="AA58" s="9"/>
      <c r="AB58" s="9"/>
      <c r="AC58" s="9"/>
      <c r="AD58" s="9"/>
    </row>
    <row r="59" spans="1:30" ht="14.25" customHeight="1" x14ac:dyDescent="0.3">
      <c r="A59" s="1"/>
      <c r="B59" s="2" t="s">
        <v>136</v>
      </c>
      <c r="C59" s="3"/>
      <c r="D59" s="3"/>
      <c r="E59" s="3"/>
      <c r="F59" s="9"/>
      <c r="G59" s="9"/>
      <c r="H59" s="9"/>
      <c r="I59" s="9"/>
      <c r="J59" s="9"/>
      <c r="K59" s="9"/>
      <c r="L59" s="9"/>
      <c r="M59" s="9"/>
      <c r="N59" s="9"/>
      <c r="O59" s="9"/>
      <c r="P59" s="9"/>
      <c r="Q59" s="9"/>
      <c r="R59" s="9"/>
      <c r="S59" s="9"/>
      <c r="T59" s="9"/>
      <c r="U59" s="9"/>
      <c r="V59" s="9"/>
      <c r="W59" s="9"/>
      <c r="X59" s="9"/>
      <c r="Y59" s="9"/>
      <c r="Z59" s="9"/>
      <c r="AA59" s="9"/>
      <c r="AB59" s="9"/>
      <c r="AC59" s="9"/>
      <c r="AD59" s="9"/>
    </row>
    <row r="60" spans="1:30" ht="14.25" customHeight="1" x14ac:dyDescent="0.3">
      <c r="A60" s="1"/>
      <c r="B60" t="s">
        <v>137</v>
      </c>
      <c r="C60" s="26">
        <v>1</v>
      </c>
      <c r="D60" s="5" t="s">
        <v>138</v>
      </c>
      <c r="E60" s="5" t="s">
        <v>139</v>
      </c>
      <c r="F60" s="9"/>
      <c r="G60" s="9"/>
      <c r="H60" s="9"/>
      <c r="I60" s="9"/>
      <c r="J60" s="9"/>
      <c r="K60" s="9"/>
      <c r="L60" s="9"/>
      <c r="M60" s="9"/>
      <c r="N60" s="9"/>
      <c r="O60" s="9"/>
      <c r="P60" s="9"/>
      <c r="Q60" s="9"/>
      <c r="R60" s="9"/>
      <c r="S60" s="9"/>
      <c r="T60" s="9"/>
      <c r="U60" s="9"/>
      <c r="V60" s="9"/>
      <c r="W60" s="9"/>
      <c r="X60" s="9"/>
      <c r="Y60" s="9"/>
      <c r="Z60" s="9"/>
      <c r="AA60" s="9"/>
      <c r="AB60" s="9"/>
      <c r="AC60" s="9"/>
      <c r="AD60" s="9"/>
    </row>
    <row r="61" spans="1:30" ht="14.25" customHeight="1" x14ac:dyDescent="0.3">
      <c r="A61" s="1"/>
      <c r="B61" t="s">
        <v>140</v>
      </c>
      <c r="C61" s="24">
        <v>0.5</v>
      </c>
      <c r="D61" s="5" t="s">
        <v>70</v>
      </c>
      <c r="E61" s="1"/>
      <c r="F61" s="9"/>
      <c r="G61" s="9"/>
      <c r="H61" s="9"/>
      <c r="I61" s="9"/>
      <c r="J61" s="9"/>
      <c r="K61" s="9"/>
      <c r="L61" s="9"/>
      <c r="M61" s="9"/>
      <c r="N61" s="9"/>
      <c r="O61" s="9"/>
      <c r="P61" s="9"/>
      <c r="Q61" s="9"/>
      <c r="R61" s="9"/>
      <c r="S61" s="9"/>
      <c r="T61" s="9"/>
      <c r="U61" s="9"/>
      <c r="V61" s="9"/>
      <c r="W61" s="9"/>
      <c r="X61" s="9"/>
      <c r="Y61" s="9"/>
      <c r="Z61" s="9"/>
      <c r="AA61" s="9"/>
      <c r="AB61" s="9"/>
      <c r="AC61" s="9"/>
      <c r="AD61" s="9"/>
    </row>
    <row r="62" spans="1:30" ht="14.25" customHeight="1" x14ac:dyDescent="0.3">
      <c r="A62" s="1"/>
      <c r="B62" t="s">
        <v>141</v>
      </c>
      <c r="C62" s="24">
        <v>0.5</v>
      </c>
      <c r="D62" s="5" t="s">
        <v>70</v>
      </c>
      <c r="E62" s="1"/>
      <c r="F62" s="9"/>
      <c r="G62" s="9"/>
      <c r="H62" s="9"/>
      <c r="I62" s="9"/>
      <c r="J62" s="9"/>
      <c r="K62" s="9"/>
      <c r="L62" s="9"/>
      <c r="M62" s="9"/>
      <c r="N62" s="9"/>
      <c r="O62" s="9"/>
      <c r="P62" s="9"/>
      <c r="Q62" s="9"/>
      <c r="R62" s="9"/>
      <c r="S62" s="9"/>
      <c r="T62" s="9"/>
      <c r="U62" s="9"/>
      <c r="V62" s="9"/>
      <c r="W62" s="9"/>
      <c r="X62" s="9"/>
      <c r="Y62" s="9"/>
      <c r="Z62" s="9"/>
      <c r="AA62" s="9"/>
      <c r="AB62" s="9"/>
      <c r="AC62" s="9"/>
      <c r="AD62" s="9"/>
    </row>
    <row r="63" spans="1:30" ht="14.25" customHeight="1" x14ac:dyDescent="0.3">
      <c r="A63" s="1"/>
      <c r="B63" t="s">
        <v>142</v>
      </c>
      <c r="C63" s="24">
        <v>0</v>
      </c>
      <c r="D63" s="5" t="s">
        <v>70</v>
      </c>
      <c r="E63" s="1"/>
      <c r="F63" s="9"/>
      <c r="G63" s="9"/>
      <c r="H63" s="9"/>
      <c r="I63" s="9"/>
      <c r="J63" s="9"/>
      <c r="K63" s="9"/>
      <c r="L63" s="9"/>
      <c r="M63" s="9"/>
      <c r="N63" s="9"/>
      <c r="O63" s="9"/>
      <c r="P63" s="9"/>
      <c r="Q63" s="9"/>
      <c r="R63" s="9"/>
      <c r="S63" s="9"/>
      <c r="T63" s="9"/>
      <c r="U63" s="9"/>
      <c r="V63" s="9"/>
      <c r="W63" s="9"/>
      <c r="X63" s="9"/>
      <c r="Y63" s="9"/>
      <c r="Z63" s="9"/>
      <c r="AA63" s="9"/>
      <c r="AB63" s="9"/>
      <c r="AC63" s="9"/>
      <c r="AD63" s="9"/>
    </row>
    <row r="64" spans="1:30" ht="14.25" customHeight="1" x14ac:dyDescent="0.3">
      <c r="A64" s="1"/>
      <c r="B64" t="s">
        <v>143</v>
      </c>
      <c r="C64" s="24">
        <v>0</v>
      </c>
      <c r="D64" s="5" t="s">
        <v>70</v>
      </c>
      <c r="E64" s="1"/>
      <c r="F64" s="9"/>
      <c r="G64" s="9"/>
      <c r="H64" s="9"/>
      <c r="I64" s="9"/>
      <c r="J64" s="9"/>
      <c r="K64" s="9"/>
      <c r="L64" s="9"/>
      <c r="M64" s="9"/>
      <c r="N64" s="9"/>
      <c r="O64" s="9"/>
      <c r="P64" s="9"/>
      <c r="Q64" s="9"/>
      <c r="R64" s="9"/>
      <c r="S64" s="9"/>
      <c r="T64" s="9"/>
      <c r="U64" s="9"/>
      <c r="V64" s="9"/>
      <c r="W64" s="9"/>
      <c r="X64" s="9"/>
      <c r="Y64" s="9"/>
      <c r="Z64" s="9"/>
      <c r="AA64" s="9"/>
      <c r="AB64" s="9"/>
      <c r="AC64" s="9"/>
      <c r="AD64" s="9"/>
    </row>
    <row r="65" spans="1:30" ht="14.25" customHeight="1" x14ac:dyDescent="0.3">
      <c r="A65" s="1"/>
      <c r="B65" t="s">
        <v>144</v>
      </c>
      <c r="C65" s="24">
        <v>0</v>
      </c>
      <c r="D65" s="5" t="s">
        <v>70</v>
      </c>
      <c r="E65" s="1"/>
      <c r="F65" s="9"/>
      <c r="G65" s="9"/>
      <c r="H65" s="9"/>
      <c r="I65" s="9"/>
      <c r="J65" s="9"/>
      <c r="K65" s="9"/>
      <c r="L65" s="9"/>
      <c r="M65" s="9"/>
      <c r="N65" s="9"/>
      <c r="O65" s="9"/>
      <c r="P65" s="9"/>
      <c r="Q65" s="9"/>
      <c r="R65" s="9"/>
      <c r="S65" s="9"/>
      <c r="T65" s="9"/>
      <c r="U65" s="9"/>
      <c r="V65" s="9"/>
      <c r="W65" s="9"/>
      <c r="X65" s="9"/>
      <c r="Y65" s="9"/>
      <c r="Z65" s="9"/>
      <c r="AA65" s="9"/>
      <c r="AB65" s="9"/>
      <c r="AC65" s="9"/>
      <c r="AD65" s="9"/>
    </row>
    <row r="66" spans="1:30" ht="14.25" customHeight="1" x14ac:dyDescent="0.3">
      <c r="A66" s="1"/>
      <c r="B66" s="1"/>
      <c r="C66" s="1"/>
      <c r="D66" s="1"/>
      <c r="E66" s="1"/>
      <c r="F66" s="9"/>
      <c r="G66" s="9"/>
      <c r="H66" s="9"/>
      <c r="I66" s="9"/>
      <c r="J66" s="9"/>
      <c r="K66" s="9"/>
      <c r="L66" s="9"/>
      <c r="M66" s="9"/>
      <c r="N66" s="9"/>
      <c r="O66" s="9"/>
      <c r="P66" s="9"/>
      <c r="Q66" s="9"/>
      <c r="R66" s="9"/>
      <c r="S66" s="9"/>
      <c r="T66" s="9"/>
      <c r="U66" s="9"/>
      <c r="V66" s="9"/>
      <c r="W66" s="9"/>
      <c r="X66" s="9"/>
      <c r="Y66" s="9"/>
      <c r="Z66" s="9"/>
      <c r="AA66" s="9"/>
      <c r="AB66" s="9"/>
      <c r="AC66" s="9"/>
      <c r="AD66" s="9"/>
    </row>
    <row r="67" spans="1:30" ht="14.25" customHeight="1" x14ac:dyDescent="0.3">
      <c r="A67" s="1"/>
      <c r="B67" s="2" t="s">
        <v>145</v>
      </c>
      <c r="C67" s="3"/>
      <c r="D67" s="3"/>
      <c r="E67" s="3"/>
      <c r="F67" s="9"/>
      <c r="G67" s="9"/>
      <c r="H67" s="9"/>
      <c r="I67" s="9"/>
      <c r="J67" s="9"/>
      <c r="K67" s="9"/>
      <c r="L67" s="9"/>
      <c r="M67" s="9"/>
      <c r="N67" s="9"/>
      <c r="O67" s="9"/>
      <c r="P67" s="9"/>
      <c r="Q67" s="9"/>
      <c r="R67" s="9"/>
      <c r="S67" s="9"/>
      <c r="T67" s="9"/>
      <c r="U67" s="9"/>
      <c r="V67" s="9"/>
      <c r="W67" s="9"/>
      <c r="X67" s="9"/>
      <c r="Y67" s="9"/>
      <c r="Z67" s="9"/>
      <c r="AA67" s="9"/>
      <c r="AB67" s="9"/>
      <c r="AC67" s="9"/>
      <c r="AD67" s="9"/>
    </row>
    <row r="68" spans="1:30" ht="14.25" customHeight="1" x14ac:dyDescent="0.3">
      <c r="A68" s="1"/>
      <c r="B68" t="s">
        <v>146</v>
      </c>
      <c r="C68" s="24">
        <v>0.3</v>
      </c>
      <c r="D68" s="5" t="s">
        <v>70</v>
      </c>
      <c r="E68" s="5" t="s">
        <v>147</v>
      </c>
      <c r="F68" s="9"/>
      <c r="G68" s="9"/>
      <c r="H68" s="9"/>
      <c r="I68" s="9"/>
      <c r="J68" s="9"/>
      <c r="K68" s="9"/>
      <c r="L68" s="9"/>
      <c r="M68" s="9"/>
      <c r="N68" s="9"/>
      <c r="O68" s="9"/>
      <c r="P68" s="9"/>
      <c r="Q68" s="9"/>
      <c r="R68" s="9"/>
      <c r="S68" s="9"/>
      <c r="T68" s="9"/>
      <c r="U68" s="9"/>
      <c r="V68" s="9"/>
      <c r="W68" s="9"/>
      <c r="X68" s="9"/>
      <c r="Y68" s="9"/>
      <c r="Z68" s="9"/>
      <c r="AA68" s="9"/>
      <c r="AB68" s="9"/>
      <c r="AC68" s="9"/>
      <c r="AD68" s="9"/>
    </row>
    <row r="69" spans="1:30" ht="14.25" customHeight="1" x14ac:dyDescent="0.3">
      <c r="A69" s="1"/>
      <c r="B69" t="s">
        <v>148</v>
      </c>
      <c r="C69" s="24">
        <v>0.05</v>
      </c>
      <c r="D69" s="5" t="s">
        <v>70</v>
      </c>
      <c r="E69" s="5" t="s">
        <v>149</v>
      </c>
      <c r="F69" s="9"/>
      <c r="G69" s="9"/>
      <c r="H69" s="9"/>
      <c r="I69" s="9"/>
      <c r="J69" s="9"/>
      <c r="K69" s="9"/>
      <c r="L69" s="9"/>
      <c r="M69" s="9"/>
      <c r="N69" s="9"/>
      <c r="O69" s="9"/>
      <c r="P69" s="9"/>
      <c r="Q69" s="9"/>
      <c r="R69" s="9"/>
      <c r="S69" s="9"/>
      <c r="T69" s="9"/>
      <c r="U69" s="9"/>
      <c r="V69" s="9"/>
      <c r="W69" s="9"/>
      <c r="X69" s="9"/>
      <c r="Y69" s="9"/>
      <c r="Z69" s="9"/>
      <c r="AA69" s="9"/>
      <c r="AB69" s="9"/>
      <c r="AC69" s="9"/>
      <c r="AD69" s="9"/>
    </row>
    <row r="70" spans="1:30" ht="14.25" customHeight="1" x14ac:dyDescent="0.3">
      <c r="A70" s="1"/>
      <c r="B70" t="s">
        <v>150</v>
      </c>
      <c r="C70" s="23">
        <v>7</v>
      </c>
      <c r="D70" s="5" t="s">
        <v>112</v>
      </c>
      <c r="E70" s="5" t="s">
        <v>151</v>
      </c>
      <c r="F70" s="9"/>
      <c r="G70" s="9"/>
      <c r="H70" s="9"/>
      <c r="I70" s="9"/>
      <c r="J70" s="9"/>
      <c r="K70" s="9"/>
      <c r="L70" s="9"/>
      <c r="M70" s="9"/>
      <c r="N70" s="9"/>
      <c r="O70" s="9"/>
      <c r="P70" s="9"/>
      <c r="Q70" s="9"/>
      <c r="R70" s="9"/>
      <c r="S70" s="9"/>
      <c r="T70" s="9"/>
      <c r="U70" s="9"/>
      <c r="V70" s="9"/>
      <c r="W70" s="9"/>
      <c r="X70" s="9"/>
      <c r="Y70" s="9"/>
      <c r="Z70" s="9"/>
      <c r="AA70" s="9"/>
      <c r="AB70" s="9"/>
      <c r="AC70" s="9"/>
      <c r="AD70" s="9"/>
    </row>
    <row r="71" spans="1:30" ht="14.25" customHeight="1" x14ac:dyDescent="0.3">
      <c r="A71" s="1"/>
      <c r="B71" t="s">
        <v>152</v>
      </c>
      <c r="C71" s="24">
        <v>0.15</v>
      </c>
      <c r="D71" s="5" t="s">
        <v>70</v>
      </c>
      <c r="E71" s="5" t="s">
        <v>153</v>
      </c>
      <c r="F71" s="9"/>
      <c r="G71" s="9"/>
      <c r="H71" s="9"/>
      <c r="I71" s="9"/>
      <c r="J71" s="9"/>
      <c r="K71" s="9"/>
      <c r="L71" s="9"/>
      <c r="M71" s="9"/>
      <c r="N71" s="9"/>
      <c r="O71" s="9"/>
      <c r="P71" s="9"/>
      <c r="Q71" s="9"/>
      <c r="R71" s="9"/>
      <c r="S71" s="9"/>
      <c r="T71" s="9"/>
      <c r="U71" s="9"/>
      <c r="V71" s="9"/>
      <c r="W71" s="9"/>
      <c r="X71" s="9"/>
      <c r="Y71" s="9"/>
      <c r="Z71" s="9"/>
      <c r="AA71" s="9"/>
      <c r="AB71" s="9"/>
      <c r="AC71" s="9"/>
      <c r="AD71" s="9"/>
    </row>
    <row r="72" spans="1:30" ht="14.25" customHeight="1" x14ac:dyDescent="0.3">
      <c r="A72" s="1"/>
      <c r="B72" t="s">
        <v>154</v>
      </c>
      <c r="C72" s="23">
        <v>10</v>
      </c>
      <c r="D72" s="5" t="s">
        <v>112</v>
      </c>
      <c r="E72" s="1"/>
      <c r="F72" s="9"/>
      <c r="G72" s="9"/>
      <c r="H72" s="9"/>
      <c r="I72" s="9"/>
      <c r="J72" s="9"/>
      <c r="K72" s="9"/>
      <c r="L72" s="9"/>
      <c r="M72" s="9"/>
      <c r="N72" s="9"/>
      <c r="O72" s="9"/>
      <c r="P72" s="9"/>
      <c r="Q72" s="9"/>
      <c r="R72" s="9"/>
      <c r="S72" s="9"/>
      <c r="T72" s="9"/>
      <c r="U72" s="9"/>
      <c r="V72" s="9"/>
      <c r="W72" s="9"/>
      <c r="X72" s="9"/>
      <c r="Y72" s="9"/>
      <c r="Z72" s="9"/>
      <c r="AA72" s="9"/>
      <c r="AB72" s="9"/>
      <c r="AC72" s="9"/>
      <c r="AD72" s="9"/>
    </row>
    <row r="73" spans="1:30" ht="14.25" customHeight="1" x14ac:dyDescent="0.3">
      <c r="A73" s="1"/>
      <c r="B73" t="s">
        <v>155</v>
      </c>
      <c r="C73" s="24">
        <v>0.25</v>
      </c>
      <c r="D73" s="5" t="s">
        <v>70</v>
      </c>
      <c r="E73" s="5" t="s">
        <v>156</v>
      </c>
      <c r="F73" s="9"/>
      <c r="G73" s="9"/>
      <c r="H73" s="9"/>
      <c r="I73" s="9"/>
      <c r="J73" s="9"/>
      <c r="K73" s="9"/>
      <c r="L73" s="9"/>
      <c r="M73" s="9"/>
      <c r="N73" s="9"/>
      <c r="O73" s="9"/>
      <c r="P73" s="9"/>
      <c r="Q73" s="9"/>
      <c r="R73" s="9"/>
      <c r="S73" s="9"/>
      <c r="T73" s="9"/>
      <c r="U73" s="9"/>
      <c r="V73" s="9"/>
      <c r="W73" s="9"/>
      <c r="X73" s="9"/>
      <c r="Y73" s="9"/>
      <c r="Z73" s="9"/>
      <c r="AA73" s="9"/>
      <c r="AB73" s="9"/>
      <c r="AC73" s="9"/>
      <c r="AD73" s="9"/>
    </row>
    <row r="74" spans="1:30" ht="14.25" customHeight="1" x14ac:dyDescent="0.3">
      <c r="A74" s="1"/>
      <c r="B74" s="1"/>
      <c r="C74" s="1"/>
      <c r="D74" s="1"/>
      <c r="E74" s="1"/>
      <c r="F74" s="9"/>
      <c r="G74" s="9"/>
      <c r="H74" s="9"/>
      <c r="I74" s="9"/>
      <c r="J74" s="9"/>
      <c r="K74" s="9"/>
      <c r="L74" s="9"/>
      <c r="M74" s="9"/>
      <c r="N74" s="9"/>
      <c r="O74" s="9"/>
      <c r="P74" s="9"/>
      <c r="Q74" s="9"/>
      <c r="R74" s="9"/>
      <c r="S74" s="9"/>
      <c r="T74" s="9"/>
      <c r="U74" s="9"/>
      <c r="V74" s="9"/>
      <c r="W74" s="9"/>
      <c r="X74" s="9"/>
      <c r="Y74" s="9"/>
      <c r="Z74" s="9"/>
      <c r="AA74" s="9"/>
      <c r="AB74" s="9"/>
      <c r="AC74" s="9"/>
      <c r="AD74" s="9"/>
    </row>
    <row r="75" spans="1:30" ht="14.25" customHeight="1" x14ac:dyDescent="0.3">
      <c r="A75" s="1"/>
      <c r="B75" s="2" t="s">
        <v>157</v>
      </c>
      <c r="C75" s="3"/>
      <c r="D75" s="3"/>
      <c r="E75" s="3"/>
      <c r="F75" s="9"/>
      <c r="G75" s="9"/>
      <c r="H75" s="9"/>
      <c r="I75" s="9"/>
      <c r="J75" s="9"/>
      <c r="K75" s="9"/>
      <c r="L75" s="9"/>
      <c r="M75" s="9"/>
      <c r="N75" s="9"/>
      <c r="O75" s="9"/>
      <c r="P75" s="9"/>
      <c r="Q75" s="9"/>
      <c r="R75" s="9"/>
      <c r="S75" s="9"/>
      <c r="T75" s="9"/>
      <c r="U75" s="9"/>
      <c r="V75" s="9"/>
      <c r="W75" s="9"/>
      <c r="X75" s="9"/>
      <c r="Y75" s="9"/>
      <c r="Z75" s="9"/>
      <c r="AA75" s="9"/>
      <c r="AB75" s="9"/>
      <c r="AC75" s="9"/>
      <c r="AD75" s="9"/>
    </row>
    <row r="76" spans="1:30" ht="14.25" customHeight="1" x14ac:dyDescent="0.3">
      <c r="A76" s="1"/>
      <c r="B76" t="s">
        <v>158</v>
      </c>
      <c r="C76" s="24">
        <v>0.03</v>
      </c>
      <c r="D76" s="5" t="s">
        <v>70</v>
      </c>
      <c r="E76" s="5" t="s">
        <v>159</v>
      </c>
      <c r="F76" s="9"/>
      <c r="G76" s="9"/>
      <c r="H76" s="9"/>
      <c r="I76" s="9"/>
      <c r="J76" s="9"/>
      <c r="K76" s="9"/>
      <c r="L76" s="9"/>
      <c r="M76" s="9"/>
      <c r="N76" s="9"/>
      <c r="O76" s="9"/>
      <c r="P76" s="9"/>
      <c r="Q76" s="9"/>
      <c r="R76" s="9"/>
      <c r="S76" s="9"/>
      <c r="T76" s="9"/>
      <c r="U76" s="9"/>
      <c r="V76" s="9"/>
      <c r="W76" s="9"/>
      <c r="X76" s="9"/>
      <c r="Y76" s="9"/>
      <c r="Z76" s="9"/>
      <c r="AA76" s="9"/>
      <c r="AB76" s="9"/>
      <c r="AC76" s="9"/>
      <c r="AD76" s="9"/>
    </row>
    <row r="77" spans="1:30" ht="14.25" customHeight="1" x14ac:dyDescent="0.3">
      <c r="A77" s="1"/>
      <c r="B77" t="s">
        <v>160</v>
      </c>
      <c r="C77" s="24">
        <v>0.2</v>
      </c>
      <c r="D77" s="5" t="s">
        <v>70</v>
      </c>
      <c r="E77" s="5" t="s">
        <v>161</v>
      </c>
      <c r="F77" s="9"/>
      <c r="G77" s="9"/>
      <c r="H77" s="9"/>
      <c r="I77" s="9"/>
      <c r="J77" s="9"/>
      <c r="K77" s="9"/>
      <c r="L77" s="9"/>
      <c r="M77" s="9"/>
      <c r="N77" s="9"/>
      <c r="O77" s="9"/>
      <c r="P77" s="9"/>
      <c r="Q77" s="9"/>
      <c r="R77" s="9"/>
      <c r="S77" s="9"/>
      <c r="T77" s="9"/>
      <c r="U77" s="9"/>
      <c r="V77" s="9"/>
      <c r="W77" s="9"/>
      <c r="X77" s="9"/>
      <c r="Y77" s="9"/>
      <c r="Z77" s="9"/>
      <c r="AA77" s="9"/>
      <c r="AB77" s="9"/>
      <c r="AC77" s="9"/>
      <c r="AD77" s="9"/>
    </row>
    <row r="78" spans="1:30" ht="14.25" customHeight="1" x14ac:dyDescent="0.3">
      <c r="A78" s="1"/>
      <c r="B78" t="s">
        <v>162</v>
      </c>
      <c r="C78" s="26">
        <v>10</v>
      </c>
      <c r="D78" s="5" t="s">
        <v>138</v>
      </c>
      <c r="E78" s="5" t="s">
        <v>163</v>
      </c>
      <c r="F78" s="9"/>
      <c r="G78" s="9"/>
      <c r="H78" s="9"/>
      <c r="I78" s="9"/>
      <c r="J78" s="9"/>
      <c r="K78" s="9"/>
      <c r="L78" s="9"/>
      <c r="M78" s="9"/>
      <c r="N78" s="9"/>
      <c r="O78" s="9"/>
      <c r="P78" s="9"/>
      <c r="Q78" s="9"/>
      <c r="R78" s="9"/>
      <c r="S78" s="9"/>
      <c r="T78" s="9"/>
      <c r="U78" s="9"/>
      <c r="V78" s="9"/>
      <c r="W78" s="9"/>
      <c r="X78" s="9"/>
      <c r="Y78" s="9"/>
      <c r="Z78" s="9"/>
      <c r="AA78" s="9"/>
      <c r="AB78" s="9"/>
      <c r="AC78" s="9"/>
      <c r="AD78" s="9"/>
    </row>
    <row r="79" spans="1:30" ht="14.25" customHeight="1" x14ac:dyDescent="0.3">
      <c r="A79" s="1"/>
      <c r="B79" s="1"/>
      <c r="C79" s="1"/>
      <c r="D79" s="1"/>
      <c r="E79" s="1"/>
      <c r="F79" s="9"/>
      <c r="G79" s="9"/>
      <c r="H79" s="9"/>
      <c r="I79" s="9"/>
      <c r="J79" s="9"/>
      <c r="K79" s="9"/>
      <c r="L79" s="9"/>
      <c r="M79" s="9"/>
      <c r="N79" s="9"/>
      <c r="O79" s="9"/>
      <c r="P79" s="9"/>
      <c r="Q79" s="9"/>
      <c r="R79" s="9"/>
      <c r="S79" s="9"/>
      <c r="T79" s="9"/>
      <c r="U79" s="9"/>
      <c r="V79" s="9"/>
      <c r="W79" s="9"/>
      <c r="X79" s="9"/>
      <c r="Y79" s="9"/>
      <c r="Z79" s="9"/>
      <c r="AA79" s="9"/>
      <c r="AB79" s="9"/>
      <c r="AC79" s="9"/>
      <c r="AD79" s="9"/>
    </row>
    <row r="80" spans="1:30" ht="14.25" customHeight="1" x14ac:dyDescent="0.3">
      <c r="A80" s="1"/>
      <c r="B80" s="2" t="s">
        <v>164</v>
      </c>
      <c r="C80" s="3"/>
      <c r="D80" s="3"/>
      <c r="E80" s="3"/>
      <c r="F80" s="9"/>
      <c r="G80" s="9"/>
      <c r="H80" s="9"/>
      <c r="I80" s="9"/>
      <c r="J80" s="9"/>
      <c r="K80" s="9"/>
      <c r="L80" s="9"/>
      <c r="M80" s="9"/>
      <c r="N80" s="9"/>
      <c r="O80" s="9"/>
      <c r="P80" s="9"/>
      <c r="Q80" s="9"/>
      <c r="R80" s="9"/>
      <c r="S80" s="9"/>
      <c r="T80" s="9"/>
      <c r="U80" s="9"/>
      <c r="V80" s="9"/>
      <c r="W80" s="9"/>
      <c r="X80" s="9"/>
      <c r="Y80" s="9"/>
      <c r="Z80" s="9"/>
      <c r="AA80" s="9"/>
      <c r="AB80" s="9"/>
      <c r="AC80" s="9"/>
      <c r="AD80" s="9"/>
    </row>
    <row r="81" spans="1:30" ht="14.25" customHeight="1" x14ac:dyDescent="0.3">
      <c r="A81" s="1"/>
      <c r="B81" t="s">
        <v>165</v>
      </c>
      <c r="C81" s="24">
        <v>0.05</v>
      </c>
      <c r="D81" s="5" t="s">
        <v>166</v>
      </c>
      <c r="E81" s="5" t="s">
        <v>167</v>
      </c>
      <c r="F81" s="9"/>
      <c r="G81" s="9"/>
      <c r="H81" s="9"/>
      <c r="I81" s="9"/>
      <c r="J81" s="9"/>
      <c r="K81" s="9"/>
      <c r="L81" s="9"/>
      <c r="M81" s="9"/>
      <c r="N81" s="9"/>
      <c r="O81" s="9"/>
      <c r="P81" s="9"/>
      <c r="Q81" s="9"/>
      <c r="R81" s="9"/>
      <c r="S81" s="9"/>
      <c r="T81" s="9"/>
      <c r="U81" s="9"/>
      <c r="V81" s="9"/>
      <c r="W81" s="9"/>
      <c r="X81" s="9"/>
      <c r="Y81" s="9"/>
      <c r="Z81" s="9"/>
      <c r="AA81" s="9"/>
      <c r="AB81" s="9"/>
      <c r="AC81" s="9"/>
      <c r="AD81" s="9"/>
    </row>
    <row r="82" spans="1:30" ht="14.25" customHeight="1" x14ac:dyDescent="0.3">
      <c r="A82" s="1"/>
      <c r="B82" t="s">
        <v>168</v>
      </c>
      <c r="C82" s="23">
        <v>25</v>
      </c>
      <c r="D82" s="5" t="s">
        <v>67</v>
      </c>
      <c r="E82" s="5" t="s">
        <v>169</v>
      </c>
      <c r="F82" s="9"/>
      <c r="G82" s="9"/>
      <c r="H82" s="9"/>
      <c r="I82" s="9"/>
      <c r="J82" s="9"/>
      <c r="K82" s="9"/>
      <c r="L82" s="9"/>
      <c r="M82" s="9"/>
      <c r="N82" s="9"/>
      <c r="O82" s="9"/>
      <c r="P82" s="9"/>
      <c r="Q82" s="9"/>
      <c r="R82" s="9"/>
      <c r="S82" s="9"/>
      <c r="T82" s="9"/>
      <c r="U82" s="9"/>
      <c r="V82" s="9"/>
      <c r="W82" s="9"/>
      <c r="X82" s="9"/>
      <c r="Y82" s="9"/>
      <c r="Z82" s="9"/>
      <c r="AA82" s="9"/>
      <c r="AB82" s="9"/>
      <c r="AC82" s="9"/>
      <c r="AD82" s="9"/>
    </row>
    <row r="83" spans="1:30" ht="14.25" customHeight="1" x14ac:dyDescent="0.3">
      <c r="A83" s="1"/>
      <c r="B83" t="s">
        <v>170</v>
      </c>
      <c r="C83" s="24">
        <v>0.1</v>
      </c>
      <c r="D83" s="5" t="s">
        <v>166</v>
      </c>
      <c r="E83" s="5" t="s">
        <v>171</v>
      </c>
      <c r="F83" s="9"/>
      <c r="G83" s="9"/>
      <c r="H83" s="9"/>
      <c r="I83" s="9"/>
      <c r="J83" s="9"/>
      <c r="K83" s="9"/>
      <c r="L83" s="9"/>
      <c r="M83" s="9"/>
      <c r="N83" s="9"/>
      <c r="O83" s="9"/>
      <c r="P83" s="9"/>
      <c r="Q83" s="9"/>
      <c r="R83" s="9"/>
      <c r="S83" s="9"/>
      <c r="T83" s="9"/>
      <c r="U83" s="9"/>
      <c r="V83" s="9"/>
      <c r="W83" s="9"/>
      <c r="X83" s="9"/>
      <c r="Y83" s="9"/>
      <c r="Z83" s="9"/>
      <c r="AA83" s="9"/>
      <c r="AB83" s="9"/>
      <c r="AC83" s="9"/>
      <c r="AD83" s="9"/>
    </row>
    <row r="84" spans="1:30" ht="14.25" customHeight="1" x14ac:dyDescent="0.3">
      <c r="A84" s="1"/>
      <c r="B84" s="1"/>
      <c r="C84" s="1"/>
      <c r="D84" s="1"/>
      <c r="E84" s="1"/>
      <c r="F84" s="9"/>
      <c r="G84" s="9"/>
      <c r="H84" s="9"/>
      <c r="I84" s="9"/>
      <c r="J84" s="9"/>
      <c r="K84" s="9"/>
      <c r="L84" s="9"/>
      <c r="M84" s="9"/>
      <c r="N84" s="9"/>
      <c r="O84" s="9"/>
      <c r="P84" s="9"/>
      <c r="Q84" s="9"/>
      <c r="R84" s="9"/>
      <c r="S84" s="9"/>
      <c r="T84" s="9"/>
      <c r="U84" s="9"/>
      <c r="V84" s="9"/>
      <c r="W84" s="9"/>
      <c r="X84" s="9"/>
      <c r="Y84" s="9"/>
      <c r="Z84" s="9"/>
      <c r="AA84" s="9"/>
      <c r="AB84" s="9"/>
      <c r="AC84" s="9"/>
      <c r="AD84" s="9"/>
    </row>
    <row r="85" spans="1:30" ht="14.25" customHeight="1" x14ac:dyDescent="0.3">
      <c r="A85" s="1"/>
      <c r="B85" s="2" t="s">
        <v>172</v>
      </c>
      <c r="C85" s="3"/>
      <c r="D85" s="3"/>
      <c r="E85" s="3"/>
      <c r="F85" s="9"/>
      <c r="G85" s="9"/>
      <c r="H85" s="9"/>
      <c r="I85" s="9"/>
      <c r="J85" s="9"/>
      <c r="K85" s="9"/>
      <c r="L85" s="9"/>
      <c r="M85" s="9"/>
      <c r="N85" s="9"/>
      <c r="O85" s="9"/>
      <c r="P85" s="9"/>
      <c r="Q85" s="9"/>
      <c r="R85" s="9"/>
      <c r="S85" s="9"/>
      <c r="T85" s="9"/>
      <c r="U85" s="9"/>
      <c r="V85" s="9"/>
      <c r="W85" s="9"/>
      <c r="X85" s="9"/>
      <c r="Y85" s="9"/>
      <c r="Z85" s="9"/>
      <c r="AA85" s="9"/>
      <c r="AB85" s="9"/>
      <c r="AC85" s="9"/>
      <c r="AD85" s="9"/>
    </row>
    <row r="86" spans="1:30" ht="14.25" customHeight="1" x14ac:dyDescent="0.3">
      <c r="A86" s="1"/>
      <c r="B86" t="s">
        <v>173</v>
      </c>
      <c r="C86" s="27">
        <f>C29*(1+C34)</f>
        <v>22.5</v>
      </c>
      <c r="D86" s="5" t="s">
        <v>79</v>
      </c>
      <c r="E86" s="1"/>
      <c r="F86" s="9"/>
      <c r="G86" s="9"/>
      <c r="H86" s="9"/>
      <c r="I86" s="9"/>
      <c r="J86" s="9"/>
      <c r="K86" s="9"/>
      <c r="L86" s="9"/>
      <c r="M86" s="9"/>
      <c r="N86" s="9"/>
      <c r="O86" s="9"/>
      <c r="P86" s="9"/>
      <c r="Q86" s="9"/>
      <c r="R86" s="9"/>
      <c r="S86" s="9"/>
      <c r="T86" s="9"/>
      <c r="U86" s="9"/>
      <c r="V86" s="9"/>
      <c r="W86" s="9"/>
      <c r="X86" s="9"/>
      <c r="Y86" s="9"/>
      <c r="Z86" s="9"/>
      <c r="AA86" s="9"/>
      <c r="AB86" s="9"/>
      <c r="AC86" s="9"/>
      <c r="AD86" s="9"/>
    </row>
    <row r="87" spans="1:30" ht="14.25" customHeight="1" x14ac:dyDescent="0.3">
      <c r="A87" s="1"/>
      <c r="B87" t="s">
        <v>174</v>
      </c>
      <c r="C87" s="27">
        <f>C86*C30</f>
        <v>2250</v>
      </c>
      <c r="D87" s="5" t="s">
        <v>67</v>
      </c>
      <c r="E87" s="1"/>
      <c r="F87" s="9"/>
      <c r="G87" s="9"/>
      <c r="H87" s="9"/>
      <c r="I87" s="9"/>
      <c r="J87" s="9"/>
      <c r="K87" s="9"/>
      <c r="L87" s="9"/>
      <c r="M87" s="9"/>
      <c r="N87" s="9"/>
      <c r="O87" s="9"/>
      <c r="P87" s="9"/>
      <c r="Q87" s="9"/>
      <c r="R87" s="9"/>
      <c r="S87" s="9"/>
      <c r="T87" s="9"/>
      <c r="U87" s="9"/>
      <c r="V87" s="9"/>
      <c r="W87" s="9"/>
      <c r="X87" s="9"/>
      <c r="Y87" s="9"/>
      <c r="Z87" s="9"/>
      <c r="AA87" s="9"/>
      <c r="AB87" s="9"/>
      <c r="AC87" s="9"/>
      <c r="AD87" s="9"/>
    </row>
    <row r="88" spans="1:30" ht="14.25" customHeight="1" x14ac:dyDescent="0.3">
      <c r="A88" s="1"/>
      <c r="B88" t="s">
        <v>26</v>
      </c>
      <c r="C88" s="27">
        <f>C87+C31</f>
        <v>2250</v>
      </c>
      <c r="D88" s="5" t="s">
        <v>67</v>
      </c>
      <c r="E88" s="1"/>
      <c r="F88" s="9"/>
      <c r="G88" s="9"/>
      <c r="H88" s="9"/>
      <c r="I88" s="9"/>
      <c r="J88" s="9"/>
      <c r="K88" s="9"/>
      <c r="L88" s="9"/>
      <c r="M88" s="9"/>
      <c r="N88" s="9"/>
      <c r="O88" s="9"/>
      <c r="P88" s="9"/>
      <c r="Q88" s="9"/>
      <c r="R88" s="9"/>
      <c r="S88" s="9"/>
      <c r="T88" s="9"/>
      <c r="U88" s="9"/>
      <c r="V88" s="9"/>
      <c r="W88" s="9"/>
      <c r="X88" s="9"/>
      <c r="Y88" s="9"/>
      <c r="Z88" s="9"/>
      <c r="AA88" s="9"/>
      <c r="AB88" s="9"/>
      <c r="AC88" s="9"/>
      <c r="AD88" s="9"/>
    </row>
    <row r="89" spans="1:30" ht="14.25" customHeight="1" x14ac:dyDescent="0.3">
      <c r="A89" s="1"/>
      <c r="B89" t="s">
        <v>54</v>
      </c>
      <c r="C89" s="27">
        <f>C87*(1-C35)</f>
        <v>900</v>
      </c>
      <c r="D89" s="5" t="s">
        <v>67</v>
      </c>
      <c r="E89" s="1"/>
      <c r="F89" s="9"/>
      <c r="G89" s="9"/>
      <c r="H89" s="9"/>
      <c r="I89" s="9"/>
      <c r="J89" s="9"/>
      <c r="K89" s="9"/>
      <c r="L89" s="9"/>
      <c r="M89" s="9"/>
      <c r="N89" s="9"/>
      <c r="O89" s="9"/>
      <c r="P89" s="9"/>
      <c r="Q89" s="9"/>
      <c r="R89" s="9"/>
      <c r="S89" s="9"/>
      <c r="T89" s="9"/>
      <c r="U89" s="9"/>
      <c r="V89" s="9"/>
      <c r="W89" s="9"/>
      <c r="X89" s="9"/>
      <c r="Y89" s="9"/>
      <c r="Z89" s="9"/>
      <c r="AA89" s="9"/>
      <c r="AB89" s="9"/>
      <c r="AC89" s="9"/>
      <c r="AD89" s="9"/>
    </row>
    <row r="90" spans="1:30" ht="14.25" customHeight="1" x14ac:dyDescent="0.3">
      <c r="A90" s="1"/>
      <c r="B90" t="s">
        <v>175</v>
      </c>
      <c r="C90" s="27">
        <f>C89/C13</f>
        <v>2</v>
      </c>
      <c r="D90" s="5" t="s">
        <v>81</v>
      </c>
      <c r="E90" s="1"/>
      <c r="F90" s="9"/>
      <c r="G90" s="9"/>
      <c r="H90" s="9"/>
      <c r="I90" s="9"/>
      <c r="J90" s="9"/>
      <c r="K90" s="9"/>
      <c r="L90" s="9"/>
      <c r="M90" s="9"/>
      <c r="N90" s="9"/>
      <c r="O90" s="9"/>
      <c r="P90" s="9"/>
      <c r="Q90" s="9"/>
      <c r="R90" s="9"/>
      <c r="S90" s="9"/>
      <c r="T90" s="9"/>
      <c r="U90" s="9"/>
      <c r="V90" s="9"/>
      <c r="W90" s="9"/>
      <c r="X90" s="9"/>
      <c r="Y90" s="9"/>
      <c r="Z90" s="9"/>
      <c r="AA90" s="9"/>
      <c r="AB90" s="9"/>
      <c r="AC90" s="9"/>
      <c r="AD90" s="9"/>
    </row>
    <row r="91" spans="1:30" ht="14.25" customHeight="1" x14ac:dyDescent="0.3">
      <c r="A91" s="1"/>
      <c r="B91" t="s">
        <v>176</v>
      </c>
      <c r="C91" s="27">
        <f>C87*C35+C31+C36+C37-C38</f>
        <v>-35</v>
      </c>
      <c r="D91" s="5" t="s">
        <v>67</v>
      </c>
      <c r="E91" s="1"/>
      <c r="F91" s="9"/>
      <c r="G91" s="9"/>
      <c r="H91" s="9"/>
      <c r="I91" s="9"/>
      <c r="J91" s="9"/>
      <c r="K91" s="9"/>
      <c r="L91" s="9"/>
      <c r="M91" s="9"/>
      <c r="N91" s="9"/>
      <c r="O91" s="9"/>
      <c r="P91" s="9"/>
      <c r="Q91" s="9"/>
      <c r="R91" s="9"/>
      <c r="S91" s="9"/>
      <c r="T91" s="9"/>
      <c r="U91" s="9"/>
      <c r="V91" s="9"/>
      <c r="W91" s="9"/>
      <c r="X91" s="9"/>
      <c r="Y91" s="9"/>
      <c r="Z91" s="9"/>
      <c r="AA91" s="9"/>
      <c r="AB91" s="9"/>
      <c r="AC91" s="9"/>
      <c r="AD91" s="9"/>
    </row>
    <row r="92" spans="1:30" ht="14.25" customHeight="1" x14ac:dyDescent="0.3">
      <c r="A92" s="1"/>
      <c r="B92" t="s">
        <v>177</v>
      </c>
      <c r="C92" s="27">
        <f>C14+C90</f>
        <v>332</v>
      </c>
      <c r="D92" s="5" t="s">
        <v>81</v>
      </c>
      <c r="E92" s="1"/>
      <c r="F92" s="9"/>
      <c r="G92" s="9"/>
      <c r="H92" s="9"/>
      <c r="I92" s="9"/>
      <c r="J92" s="9"/>
      <c r="K92" s="9"/>
      <c r="L92" s="9"/>
      <c r="M92" s="9"/>
      <c r="N92" s="9"/>
      <c r="O92" s="9"/>
      <c r="P92" s="9"/>
      <c r="Q92" s="9"/>
      <c r="R92" s="9"/>
      <c r="S92" s="9"/>
      <c r="T92" s="9"/>
      <c r="U92" s="9"/>
      <c r="V92" s="9"/>
      <c r="W92" s="9"/>
      <c r="X92" s="9"/>
      <c r="Y92" s="9"/>
      <c r="Z92" s="9"/>
      <c r="AA92" s="9"/>
      <c r="AB92" s="9"/>
      <c r="AC92" s="9"/>
      <c r="AD92" s="9"/>
    </row>
  </sheetData>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5A5A5"/>
  </sheetPr>
  <dimension ref="A1:AD31"/>
  <sheetViews>
    <sheetView showGridLines="0" zoomScaleNormal="100" workbookViewId="0">
      <selection activeCell="Q1" sqref="Q1:AD3"/>
    </sheetView>
  </sheetViews>
  <sheetFormatPr defaultColWidth="8.59765625" defaultRowHeight="13.8" x14ac:dyDescent="0.25"/>
  <cols>
    <col min="1" max="1" width="1.8984375" customWidth="1"/>
    <col min="2" max="2" width="32" customWidth="1"/>
    <col min="3" max="3" width="18" customWidth="1"/>
    <col min="4" max="4" width="5" customWidth="1"/>
    <col min="5" max="5" width="30" customWidth="1"/>
    <col min="6" max="6" width="18" customWidth="1"/>
  </cols>
  <sheetData>
    <row r="1" spans="1:30" ht="14.25" customHeight="1" x14ac:dyDescent="0.3">
      <c r="A1" s="86"/>
      <c r="B1" s="86"/>
      <c r="C1" s="86"/>
      <c r="D1" s="86"/>
      <c r="E1" s="86"/>
      <c r="F1" s="86"/>
      <c r="G1" s="87"/>
      <c r="H1" s="87"/>
      <c r="I1" s="87"/>
      <c r="J1" s="87"/>
      <c r="K1" s="87"/>
      <c r="L1" s="87"/>
      <c r="M1" s="87"/>
      <c r="N1" s="87"/>
      <c r="O1" s="87"/>
      <c r="P1" s="87"/>
      <c r="Q1" s="85"/>
      <c r="R1" s="85"/>
      <c r="S1" s="85"/>
      <c r="T1" s="85"/>
      <c r="U1" s="85"/>
      <c r="V1" s="85"/>
      <c r="W1" s="85"/>
      <c r="X1" s="85"/>
      <c r="Y1" s="85"/>
      <c r="Z1" s="85"/>
      <c r="AA1" s="85"/>
      <c r="AB1" s="85"/>
      <c r="AC1" s="85"/>
      <c r="AD1" s="85"/>
    </row>
    <row r="2" spans="1:30" ht="21.75" customHeight="1" x14ac:dyDescent="0.4">
      <c r="A2" s="86"/>
      <c r="B2" s="88" t="s">
        <v>178</v>
      </c>
      <c r="C2" s="86"/>
      <c r="D2" s="86"/>
      <c r="E2" s="86"/>
      <c r="F2" s="86"/>
      <c r="G2" s="87"/>
      <c r="H2" s="87"/>
      <c r="I2" s="87"/>
      <c r="J2" s="87"/>
      <c r="K2" s="87"/>
      <c r="L2" s="87"/>
      <c r="M2" s="87"/>
      <c r="N2" s="87"/>
      <c r="O2" s="87"/>
      <c r="P2" s="87"/>
      <c r="Q2" s="85"/>
      <c r="R2" s="85"/>
      <c r="S2" s="85"/>
      <c r="T2" s="85"/>
      <c r="U2" s="85"/>
      <c r="V2" s="85"/>
      <c r="W2" s="85"/>
      <c r="X2" s="85"/>
      <c r="Y2" s="85"/>
      <c r="Z2" s="85"/>
      <c r="AA2" s="85"/>
      <c r="AB2" s="85"/>
      <c r="AC2" s="85"/>
      <c r="AD2" s="85"/>
    </row>
    <row r="3" spans="1:30" ht="14.25" customHeight="1" x14ac:dyDescent="0.3">
      <c r="A3" s="86"/>
      <c r="B3" s="90" t="s">
        <v>179</v>
      </c>
      <c r="C3" s="86"/>
      <c r="D3" s="86"/>
      <c r="E3" s="86"/>
      <c r="F3" s="86"/>
      <c r="G3" s="87"/>
      <c r="H3" s="87"/>
      <c r="I3" s="87"/>
      <c r="J3" s="87"/>
      <c r="K3" s="87"/>
      <c r="L3" s="87"/>
      <c r="M3" s="87"/>
      <c r="N3" s="87"/>
      <c r="O3" s="87"/>
      <c r="P3" s="87"/>
      <c r="Q3" s="85"/>
      <c r="R3" s="85"/>
      <c r="S3" s="85"/>
      <c r="T3" s="85"/>
      <c r="U3" s="85"/>
      <c r="V3" s="85"/>
      <c r="W3" s="85"/>
      <c r="X3" s="85"/>
      <c r="Y3" s="85"/>
      <c r="Z3" s="85"/>
      <c r="AA3" s="85"/>
      <c r="AB3" s="85"/>
      <c r="AC3" s="85"/>
      <c r="AD3" s="85"/>
    </row>
    <row r="4" spans="1:30" ht="14.25" customHeight="1" x14ac:dyDescent="0.3">
      <c r="A4" s="1"/>
      <c r="B4" s="1"/>
      <c r="C4" s="1"/>
      <c r="D4" s="1"/>
      <c r="E4" s="1"/>
      <c r="F4" s="1"/>
      <c r="G4" s="9"/>
      <c r="H4" s="9"/>
      <c r="I4" s="9"/>
      <c r="J4" s="9"/>
      <c r="K4" s="9"/>
      <c r="L4" s="9"/>
      <c r="M4" s="9"/>
      <c r="N4" s="9"/>
      <c r="O4" s="9"/>
      <c r="P4" s="9"/>
      <c r="Q4" s="9"/>
      <c r="R4" s="9"/>
      <c r="S4" s="9"/>
      <c r="T4" s="9"/>
      <c r="U4" s="9"/>
      <c r="V4" s="9"/>
      <c r="W4" s="9"/>
      <c r="X4" s="9"/>
      <c r="Y4" s="9"/>
      <c r="Z4" s="9"/>
      <c r="AA4" s="9"/>
      <c r="AB4" s="9"/>
      <c r="AC4" s="9"/>
      <c r="AD4" s="9"/>
    </row>
    <row r="5" spans="1:30" ht="14.25" customHeight="1" x14ac:dyDescent="0.3">
      <c r="A5" s="1"/>
      <c r="B5" s="1"/>
      <c r="C5" s="1"/>
      <c r="D5" s="1"/>
      <c r="E5" s="1"/>
      <c r="F5" s="1"/>
      <c r="G5" s="9"/>
      <c r="H5" s="9"/>
      <c r="I5" s="9"/>
      <c r="J5" s="9"/>
      <c r="K5" s="9"/>
      <c r="L5" s="9"/>
      <c r="M5" s="9"/>
      <c r="N5" s="9"/>
      <c r="O5" s="9"/>
      <c r="P5" s="9"/>
      <c r="Q5" s="9"/>
      <c r="R5" s="9"/>
      <c r="S5" s="9"/>
      <c r="T5" s="9"/>
      <c r="U5" s="9"/>
      <c r="V5" s="9"/>
      <c r="W5" s="9"/>
      <c r="X5" s="9"/>
      <c r="Y5" s="9"/>
      <c r="Z5" s="9"/>
      <c r="AA5" s="9"/>
      <c r="AB5" s="9"/>
      <c r="AC5" s="9"/>
      <c r="AD5" s="9"/>
    </row>
    <row r="6" spans="1:30" ht="14.25" customHeight="1" x14ac:dyDescent="0.3">
      <c r="A6" s="1"/>
      <c r="B6" s="10" t="s">
        <v>180</v>
      </c>
      <c r="C6" s="28" t="s">
        <v>67</v>
      </c>
      <c r="D6" s="1"/>
      <c r="E6" s="10" t="s">
        <v>181</v>
      </c>
      <c r="F6" s="28" t="s">
        <v>67</v>
      </c>
      <c r="G6" s="9"/>
      <c r="H6" s="9"/>
      <c r="I6" s="9"/>
      <c r="J6" s="9"/>
      <c r="K6" s="9"/>
      <c r="L6" s="9"/>
      <c r="M6" s="9"/>
      <c r="N6" s="9"/>
      <c r="O6" s="9"/>
      <c r="P6" s="9"/>
      <c r="Q6" s="9"/>
      <c r="R6" s="9"/>
      <c r="S6" s="9"/>
      <c r="T6" s="9"/>
      <c r="U6" s="9"/>
      <c r="V6" s="9"/>
      <c r="W6" s="9"/>
      <c r="X6" s="9"/>
      <c r="Y6" s="9"/>
      <c r="Z6" s="9"/>
      <c r="AA6" s="9"/>
      <c r="AB6" s="9"/>
      <c r="AC6" s="9"/>
      <c r="AD6" s="9"/>
    </row>
    <row r="7" spans="1:30" ht="14.25" customHeight="1" x14ac:dyDescent="0.3">
      <c r="A7" s="1"/>
      <c r="B7" t="s">
        <v>182</v>
      </c>
      <c r="C7" s="27">
        <f>Assumptions!C91</f>
        <v>-35</v>
      </c>
      <c r="D7" s="1"/>
      <c r="E7" t="s">
        <v>174</v>
      </c>
      <c r="F7" s="27">
        <f>Assumptions!C87</f>
        <v>2250</v>
      </c>
      <c r="G7" s="9"/>
      <c r="H7" s="9"/>
      <c r="I7" s="9"/>
      <c r="J7" s="9"/>
      <c r="K7" s="9"/>
      <c r="L7" s="9"/>
      <c r="M7" s="9"/>
      <c r="N7" s="9"/>
      <c r="O7" s="9"/>
      <c r="P7" s="9"/>
      <c r="Q7" s="9"/>
      <c r="R7" s="9"/>
      <c r="S7" s="9"/>
      <c r="T7" s="9"/>
      <c r="U7" s="9"/>
      <c r="V7" s="9"/>
      <c r="W7" s="9"/>
      <c r="X7" s="9"/>
      <c r="Y7" s="9"/>
      <c r="Z7" s="9"/>
      <c r="AA7" s="9"/>
      <c r="AB7" s="9"/>
      <c r="AC7" s="9"/>
      <c r="AD7" s="9"/>
    </row>
    <row r="8" spans="1:30" ht="14.25" customHeight="1" x14ac:dyDescent="0.3">
      <c r="A8" s="1"/>
      <c r="B8" t="s">
        <v>54</v>
      </c>
      <c r="C8" s="27">
        <f>Assumptions!C89</f>
        <v>900</v>
      </c>
      <c r="D8" s="1"/>
      <c r="E8" t="s">
        <v>183</v>
      </c>
      <c r="F8" s="27">
        <f>Assumptions!C31</f>
        <v>0</v>
      </c>
      <c r="G8" s="9"/>
      <c r="H8" s="9"/>
      <c r="I8" s="9"/>
      <c r="J8" s="9"/>
      <c r="K8" s="9"/>
      <c r="L8" s="9"/>
      <c r="M8" s="9"/>
      <c r="N8" s="9"/>
      <c r="O8" s="9"/>
      <c r="P8" s="9"/>
      <c r="Q8" s="9"/>
      <c r="R8" s="9"/>
      <c r="S8" s="9"/>
      <c r="T8" s="9"/>
      <c r="U8" s="9"/>
      <c r="V8" s="9"/>
      <c r="W8" s="9"/>
      <c r="X8" s="9"/>
      <c r="Y8" s="9"/>
      <c r="Z8" s="9"/>
      <c r="AA8" s="9"/>
      <c r="AB8" s="9"/>
      <c r="AC8" s="9"/>
      <c r="AD8" s="9"/>
    </row>
    <row r="9" spans="1:30" ht="14.25" customHeight="1" x14ac:dyDescent="0.3">
      <c r="A9" s="1"/>
      <c r="B9" t="s">
        <v>184</v>
      </c>
      <c r="C9" s="27">
        <f>Assumptions!C38</f>
        <v>1500</v>
      </c>
      <c r="D9" s="1"/>
      <c r="E9" t="s">
        <v>102</v>
      </c>
      <c r="F9" s="27">
        <f>Assumptions!C36</f>
        <v>65</v>
      </c>
      <c r="G9" s="9"/>
      <c r="H9" s="9"/>
      <c r="I9" s="9"/>
      <c r="J9" s="9"/>
      <c r="K9" s="9"/>
      <c r="L9" s="9"/>
      <c r="M9" s="9"/>
      <c r="N9" s="9"/>
      <c r="O9" s="9"/>
      <c r="P9" s="9"/>
      <c r="Q9" s="9"/>
      <c r="R9" s="9"/>
      <c r="S9" s="9"/>
      <c r="T9" s="9"/>
      <c r="U9" s="9"/>
      <c r="V9" s="9"/>
      <c r="W9" s="9"/>
      <c r="X9" s="9"/>
      <c r="Y9" s="9"/>
      <c r="Z9" s="9"/>
      <c r="AA9" s="9"/>
      <c r="AB9" s="9"/>
      <c r="AC9" s="9"/>
      <c r="AD9" s="9"/>
    </row>
    <row r="10" spans="1:30" ht="14.25" customHeight="1" x14ac:dyDescent="0.3">
      <c r="A10" s="1"/>
      <c r="B10" s="1"/>
      <c r="C10" s="1"/>
      <c r="D10" s="1"/>
      <c r="E10" t="s">
        <v>104</v>
      </c>
      <c r="F10" s="27">
        <f>Assumptions!C37</f>
        <v>50</v>
      </c>
      <c r="G10" s="9"/>
      <c r="H10" s="9"/>
      <c r="I10" s="9"/>
      <c r="J10" s="9"/>
      <c r="K10" s="9"/>
      <c r="L10" s="9"/>
      <c r="M10" s="9"/>
      <c r="N10" s="9"/>
      <c r="O10" s="9"/>
      <c r="P10" s="9"/>
      <c r="Q10" s="9"/>
      <c r="R10" s="9"/>
      <c r="S10" s="9"/>
      <c r="T10" s="9"/>
      <c r="U10" s="9"/>
      <c r="V10" s="9"/>
      <c r="W10" s="9"/>
      <c r="X10" s="9"/>
      <c r="Y10" s="9"/>
      <c r="Z10" s="9"/>
      <c r="AA10" s="9"/>
      <c r="AB10" s="9"/>
      <c r="AC10" s="9"/>
      <c r="AD10" s="9"/>
    </row>
    <row r="11" spans="1:30" ht="14.25" customHeight="1" x14ac:dyDescent="0.3">
      <c r="A11" s="1"/>
      <c r="B11" s="29" t="s">
        <v>185</v>
      </c>
      <c r="C11" s="30">
        <f>SUM(C7:C9)</f>
        <v>2365</v>
      </c>
      <c r="D11" s="1"/>
      <c r="E11" s="29" t="s">
        <v>186</v>
      </c>
      <c r="F11" s="30">
        <f>SUM(F7:F10)</f>
        <v>2365</v>
      </c>
      <c r="G11" s="9"/>
      <c r="H11" s="9"/>
      <c r="I11" s="9"/>
      <c r="J11" s="9"/>
      <c r="K11" s="9"/>
      <c r="L11" s="9"/>
      <c r="M11" s="9"/>
      <c r="N11" s="9"/>
      <c r="O11" s="9"/>
      <c r="P11" s="9"/>
      <c r="Q11" s="9"/>
      <c r="R11" s="9"/>
      <c r="S11" s="9"/>
      <c r="T11" s="9"/>
      <c r="U11" s="9"/>
      <c r="V11" s="9"/>
      <c r="W11" s="9"/>
      <c r="X11" s="9"/>
      <c r="Y11" s="9"/>
      <c r="Z11" s="9"/>
      <c r="AA11" s="9"/>
      <c r="AB11" s="9"/>
      <c r="AC11" s="9"/>
      <c r="AD11" s="9"/>
    </row>
    <row r="12" spans="1:30" ht="14.25" customHeight="1" x14ac:dyDescent="0.3">
      <c r="A12" s="1"/>
      <c r="B12" s="1"/>
      <c r="C12" s="1"/>
      <c r="D12" s="1"/>
      <c r="E12" s="1"/>
      <c r="F12" s="1"/>
      <c r="G12" s="9"/>
      <c r="H12" s="9"/>
      <c r="I12" s="9"/>
      <c r="J12" s="9"/>
      <c r="K12" s="9"/>
      <c r="L12" s="9"/>
      <c r="M12" s="9"/>
      <c r="N12" s="9"/>
      <c r="O12" s="9"/>
      <c r="P12" s="9"/>
      <c r="Q12" s="9"/>
      <c r="R12" s="9"/>
      <c r="S12" s="9"/>
      <c r="T12" s="9"/>
      <c r="U12" s="9"/>
      <c r="V12" s="9"/>
      <c r="W12" s="9"/>
      <c r="X12" s="9"/>
      <c r="Y12" s="9"/>
      <c r="Z12" s="9"/>
      <c r="AA12" s="9"/>
      <c r="AB12" s="9"/>
      <c r="AC12" s="9"/>
      <c r="AD12" s="9"/>
    </row>
    <row r="13" spans="1:30" ht="14.25" customHeight="1" x14ac:dyDescent="0.3">
      <c r="A13" s="1"/>
      <c r="B13" s="31" t="s">
        <v>187</v>
      </c>
      <c r="C13" s="32">
        <f>C11-F11</f>
        <v>0</v>
      </c>
      <c r="D13" s="1"/>
      <c r="E13" s="5" t="s">
        <v>188</v>
      </c>
      <c r="F13" s="1"/>
      <c r="G13" s="9"/>
      <c r="H13" s="9"/>
      <c r="I13" s="9"/>
      <c r="J13" s="9"/>
      <c r="K13" s="9"/>
      <c r="L13" s="9"/>
      <c r="M13" s="9"/>
      <c r="N13" s="9"/>
      <c r="O13" s="9"/>
      <c r="P13" s="9"/>
      <c r="Q13" s="9"/>
      <c r="R13" s="9"/>
      <c r="S13" s="9"/>
      <c r="T13" s="9"/>
      <c r="U13" s="9"/>
      <c r="V13" s="9"/>
      <c r="W13" s="9"/>
      <c r="X13" s="9"/>
      <c r="Y13" s="9"/>
      <c r="Z13" s="9"/>
      <c r="AA13" s="9"/>
      <c r="AB13" s="9"/>
      <c r="AC13" s="9"/>
      <c r="AD13" s="9"/>
    </row>
    <row r="14" spans="1:30" ht="14.25" customHeight="1" x14ac:dyDescent="0.3">
      <c r="A14" s="1"/>
      <c r="B14" s="1"/>
      <c r="C14" s="1"/>
      <c r="D14" s="1"/>
      <c r="E14" s="1"/>
      <c r="F14" s="1"/>
      <c r="G14" s="9"/>
      <c r="H14" s="9"/>
      <c r="I14" s="9"/>
      <c r="J14" s="9"/>
      <c r="K14" s="9"/>
      <c r="L14" s="9"/>
      <c r="M14" s="9"/>
      <c r="N14" s="9"/>
      <c r="O14" s="9"/>
      <c r="P14" s="9"/>
      <c r="Q14" s="9"/>
      <c r="R14" s="9"/>
      <c r="S14" s="9"/>
      <c r="T14" s="9"/>
      <c r="U14" s="9"/>
      <c r="V14" s="9"/>
      <c r="W14" s="9"/>
      <c r="X14" s="9"/>
      <c r="Y14" s="9"/>
      <c r="Z14" s="9"/>
      <c r="AA14" s="9"/>
      <c r="AB14" s="9"/>
      <c r="AC14" s="9"/>
      <c r="AD14" s="9"/>
    </row>
    <row r="15" spans="1:30" ht="14.25" customHeight="1" x14ac:dyDescent="0.3">
      <c r="A15" s="1"/>
      <c r="B15" s="10" t="s">
        <v>145</v>
      </c>
      <c r="C15" s="28" t="s">
        <v>67</v>
      </c>
      <c r="D15" s="1"/>
      <c r="E15" s="1"/>
      <c r="F15" s="1"/>
      <c r="G15" s="9"/>
      <c r="H15" s="9"/>
      <c r="I15" s="9"/>
      <c r="J15" s="9"/>
      <c r="K15" s="9"/>
      <c r="L15" s="9"/>
      <c r="M15" s="9"/>
      <c r="N15" s="9"/>
      <c r="O15" s="9"/>
      <c r="P15" s="9"/>
      <c r="Q15" s="9"/>
      <c r="R15" s="9"/>
      <c r="S15" s="9"/>
      <c r="T15" s="9"/>
      <c r="U15" s="9"/>
      <c r="V15" s="9"/>
      <c r="W15" s="9"/>
      <c r="X15" s="9"/>
      <c r="Y15" s="9"/>
      <c r="Z15" s="9"/>
      <c r="AA15" s="9"/>
      <c r="AB15" s="9"/>
      <c r="AC15" s="9"/>
      <c r="AD15" s="9"/>
    </row>
    <row r="16" spans="1:30" ht="14.25" customHeight="1" x14ac:dyDescent="0.3">
      <c r="A16" s="1"/>
      <c r="B16" t="s">
        <v>26</v>
      </c>
      <c r="C16" s="27">
        <f>Assumptions!C88</f>
        <v>2250</v>
      </c>
      <c r="D16" s="1"/>
      <c r="E16" s="1"/>
      <c r="F16" s="1"/>
      <c r="G16" s="9"/>
      <c r="H16" s="9"/>
      <c r="I16" s="9"/>
      <c r="J16" s="9"/>
      <c r="K16" s="9"/>
      <c r="L16" s="9"/>
      <c r="M16" s="9"/>
      <c r="N16" s="9"/>
      <c r="O16" s="9"/>
      <c r="P16" s="9"/>
      <c r="Q16" s="9"/>
      <c r="R16" s="9"/>
      <c r="S16" s="9"/>
      <c r="T16" s="9"/>
      <c r="U16" s="9"/>
      <c r="V16" s="9"/>
      <c r="W16" s="9"/>
      <c r="X16" s="9"/>
      <c r="Y16" s="9"/>
      <c r="Z16" s="9"/>
      <c r="AA16" s="9"/>
      <c r="AB16" s="9"/>
      <c r="AC16" s="9"/>
      <c r="AD16" s="9"/>
    </row>
    <row r="17" spans="1:30" ht="14.25" customHeight="1" x14ac:dyDescent="0.3">
      <c r="A17" s="1"/>
      <c r="B17" t="s">
        <v>189</v>
      </c>
      <c r="C17" s="27">
        <f>Assumptions!C23*Assumptions!C68</f>
        <v>45</v>
      </c>
      <c r="D17" s="1"/>
      <c r="E17" s="5" t="s">
        <v>190</v>
      </c>
      <c r="F17" s="1"/>
      <c r="G17" s="9"/>
      <c r="H17" s="9"/>
      <c r="I17" s="9"/>
      <c r="J17" s="9"/>
      <c r="K17" s="9"/>
      <c r="L17" s="9"/>
      <c r="M17" s="9"/>
      <c r="N17" s="9"/>
      <c r="O17" s="9"/>
      <c r="P17" s="9"/>
      <c r="Q17" s="9"/>
      <c r="R17" s="9"/>
      <c r="S17" s="9"/>
      <c r="T17" s="9"/>
      <c r="U17" s="9"/>
      <c r="V17" s="9"/>
      <c r="W17" s="9"/>
      <c r="X17" s="9"/>
      <c r="Y17" s="9"/>
      <c r="Z17" s="9"/>
      <c r="AA17" s="9"/>
      <c r="AB17" s="9"/>
      <c r="AC17" s="9"/>
      <c r="AD17" s="9"/>
    </row>
    <row r="18" spans="1:30" ht="14.25" customHeight="1" x14ac:dyDescent="0.3">
      <c r="A18" s="1"/>
      <c r="B18" t="s">
        <v>191</v>
      </c>
      <c r="C18" s="27">
        <f>C17*Assumptions!C69/Assumptions!C70*Assumptions!C70</f>
        <v>2.25</v>
      </c>
      <c r="D18" s="1"/>
      <c r="E18" s="5" t="s">
        <v>192</v>
      </c>
      <c r="F18" s="1"/>
      <c r="G18" s="9"/>
      <c r="H18" s="9"/>
      <c r="I18" s="9"/>
      <c r="J18" s="9"/>
      <c r="K18" s="9"/>
      <c r="L18" s="9"/>
      <c r="M18" s="9"/>
      <c r="N18" s="9"/>
      <c r="O18" s="9"/>
      <c r="P18" s="9"/>
      <c r="Q18" s="9"/>
      <c r="R18" s="9"/>
      <c r="S18" s="9"/>
      <c r="T18" s="9"/>
      <c r="U18" s="9"/>
      <c r="V18" s="9"/>
      <c r="W18" s="9"/>
      <c r="X18" s="9"/>
      <c r="Y18" s="9"/>
      <c r="Z18" s="9"/>
      <c r="AA18" s="9"/>
      <c r="AB18" s="9"/>
      <c r="AC18" s="9"/>
      <c r="AD18" s="9"/>
    </row>
    <row r="19" spans="1:30" ht="14.25" customHeight="1" x14ac:dyDescent="0.3">
      <c r="A19" s="1"/>
      <c r="B19" t="s">
        <v>193</v>
      </c>
      <c r="C19" s="27">
        <f>Assumptions!C88*Assumptions!C71</f>
        <v>337.5</v>
      </c>
      <c r="D19" s="1"/>
      <c r="E19" s="1"/>
      <c r="F19" s="1"/>
      <c r="G19" s="9"/>
      <c r="H19" s="9"/>
      <c r="I19" s="9"/>
      <c r="J19" s="9"/>
      <c r="K19" s="9"/>
      <c r="L19" s="9"/>
      <c r="M19" s="9"/>
      <c r="N19" s="9"/>
      <c r="O19" s="9"/>
      <c r="P19" s="9"/>
      <c r="Q19" s="9"/>
      <c r="R19" s="9"/>
      <c r="S19" s="9"/>
      <c r="T19" s="9"/>
      <c r="U19" s="9"/>
      <c r="V19" s="9"/>
      <c r="W19" s="9"/>
      <c r="X19" s="9"/>
      <c r="Y19" s="9"/>
      <c r="Z19" s="9"/>
      <c r="AA19" s="9"/>
      <c r="AB19" s="9"/>
      <c r="AC19" s="9"/>
      <c r="AD19" s="9"/>
    </row>
    <row r="20" spans="1:30" ht="14.25" customHeight="1" x14ac:dyDescent="0.3">
      <c r="A20" s="1"/>
      <c r="B20" t="s">
        <v>194</v>
      </c>
      <c r="C20" s="27">
        <f>Assumptions!C31</f>
        <v>0</v>
      </c>
      <c r="D20" s="1"/>
      <c r="E20" s="5" t="s">
        <v>195</v>
      </c>
      <c r="F20" s="1"/>
      <c r="G20" s="9"/>
      <c r="H20" s="9"/>
      <c r="I20" s="9"/>
      <c r="J20" s="9"/>
      <c r="K20" s="9"/>
      <c r="L20" s="9"/>
      <c r="M20" s="9"/>
      <c r="N20" s="9"/>
      <c r="O20" s="9"/>
      <c r="P20" s="9"/>
      <c r="Q20" s="9"/>
      <c r="R20" s="9"/>
      <c r="S20" s="9"/>
      <c r="T20" s="9"/>
      <c r="U20" s="9"/>
      <c r="V20" s="9"/>
      <c r="W20" s="9"/>
      <c r="X20" s="9"/>
      <c r="Y20" s="9"/>
      <c r="Z20" s="9"/>
      <c r="AA20" s="9"/>
      <c r="AB20" s="9"/>
      <c r="AC20" s="9"/>
      <c r="AD20" s="9"/>
    </row>
    <row r="21" spans="1:30" ht="14.25" customHeight="1" x14ac:dyDescent="0.3">
      <c r="A21" s="1"/>
      <c r="B21" t="s">
        <v>196</v>
      </c>
      <c r="C21" s="27">
        <f>C19*Assumptions!C73</f>
        <v>84.375</v>
      </c>
      <c r="D21" s="1"/>
      <c r="E21" s="5" t="s">
        <v>197</v>
      </c>
      <c r="F21" s="1"/>
      <c r="G21" s="9"/>
      <c r="H21" s="9"/>
      <c r="I21" s="9"/>
      <c r="J21" s="9"/>
      <c r="K21" s="9"/>
      <c r="L21" s="9"/>
      <c r="M21" s="9"/>
      <c r="N21" s="9"/>
      <c r="O21" s="9"/>
      <c r="P21" s="9"/>
      <c r="Q21" s="9"/>
      <c r="R21" s="9"/>
      <c r="S21" s="9"/>
      <c r="T21" s="9"/>
      <c r="U21" s="9"/>
      <c r="V21" s="9"/>
      <c r="W21" s="9"/>
      <c r="X21" s="9"/>
      <c r="Y21" s="9"/>
      <c r="Z21" s="9"/>
      <c r="AA21" s="9"/>
      <c r="AB21" s="9"/>
      <c r="AC21" s="9"/>
      <c r="AD21" s="9"/>
    </row>
    <row r="22" spans="1:30" ht="14.25" customHeight="1" x14ac:dyDescent="0.3">
      <c r="A22" s="1"/>
      <c r="B22" s="29" t="s">
        <v>198</v>
      </c>
      <c r="C22" s="30">
        <f>C16-C17-C19+C21</f>
        <v>1951.875</v>
      </c>
      <c r="D22" s="1"/>
      <c r="E22" s="5" t="s">
        <v>199</v>
      </c>
      <c r="F22" s="1"/>
      <c r="G22" s="9"/>
      <c r="H22" s="9"/>
      <c r="I22" s="9"/>
      <c r="J22" s="9"/>
      <c r="K22" s="9"/>
      <c r="L22" s="9"/>
      <c r="M22" s="9"/>
      <c r="N22" s="9"/>
      <c r="O22" s="9"/>
      <c r="P22" s="9"/>
      <c r="Q22" s="9"/>
      <c r="R22" s="9"/>
      <c r="S22" s="9"/>
      <c r="T22" s="9"/>
      <c r="U22" s="9"/>
      <c r="V22" s="9"/>
      <c r="W22" s="9"/>
      <c r="X22" s="9"/>
      <c r="Y22" s="9"/>
      <c r="Z22" s="9"/>
      <c r="AA22" s="9"/>
      <c r="AB22" s="9"/>
      <c r="AC22" s="9"/>
      <c r="AD22" s="9"/>
    </row>
    <row r="23" spans="1:30" ht="14.25" customHeight="1" x14ac:dyDescent="0.3">
      <c r="A23" s="1"/>
      <c r="B23" s="1"/>
      <c r="C23" s="1"/>
      <c r="D23" s="1"/>
      <c r="E23" s="1"/>
      <c r="F23" s="1"/>
      <c r="G23" s="9"/>
      <c r="H23" s="9"/>
      <c r="I23" s="9"/>
      <c r="J23" s="9"/>
      <c r="K23" s="9"/>
      <c r="L23" s="9"/>
      <c r="M23" s="9"/>
      <c r="N23" s="9"/>
      <c r="O23" s="9"/>
      <c r="P23" s="9"/>
      <c r="Q23" s="9"/>
      <c r="R23" s="9"/>
      <c r="S23" s="9"/>
      <c r="T23" s="9"/>
      <c r="U23" s="9"/>
      <c r="V23" s="9"/>
      <c r="W23" s="9"/>
      <c r="X23" s="9"/>
      <c r="Y23" s="9"/>
      <c r="Z23" s="9"/>
      <c r="AA23" s="9"/>
      <c r="AB23" s="9"/>
      <c r="AC23" s="9"/>
      <c r="AD23" s="9"/>
    </row>
    <row r="24" spans="1:30" ht="14.25" customHeight="1" x14ac:dyDescent="0.3">
      <c r="A24" s="1"/>
      <c r="B24" s="31" t="s">
        <v>200</v>
      </c>
      <c r="C24" s="32">
        <f>Assumptions!C87-C17-C19-C22+C21+C20</f>
        <v>0</v>
      </c>
      <c r="D24" s="1"/>
      <c r="E24" s="5" t="s">
        <v>201</v>
      </c>
      <c r="F24" s="1"/>
      <c r="G24" s="9"/>
      <c r="H24" s="9"/>
      <c r="I24" s="9"/>
      <c r="J24" s="9"/>
      <c r="K24" s="9"/>
      <c r="L24" s="9"/>
      <c r="M24" s="9"/>
      <c r="N24" s="9"/>
      <c r="O24" s="9"/>
      <c r="P24" s="9"/>
      <c r="Q24" s="9"/>
      <c r="R24" s="9"/>
      <c r="S24" s="9"/>
      <c r="T24" s="9"/>
      <c r="U24" s="9"/>
      <c r="V24" s="9"/>
      <c r="W24" s="9"/>
      <c r="X24" s="9"/>
      <c r="Y24" s="9"/>
      <c r="Z24" s="9"/>
      <c r="AA24" s="9"/>
      <c r="AB24" s="9"/>
      <c r="AC24" s="9"/>
      <c r="AD24" s="9"/>
    </row>
    <row r="25" spans="1:30" ht="14.25" customHeight="1" x14ac:dyDescent="0.3">
      <c r="A25" s="1"/>
      <c r="B25" s="1"/>
      <c r="C25" s="1"/>
      <c r="D25" s="1"/>
      <c r="E25" s="1"/>
      <c r="F25" s="1"/>
      <c r="G25" s="9"/>
      <c r="H25" s="9"/>
      <c r="I25" s="9"/>
      <c r="J25" s="9"/>
      <c r="K25" s="9"/>
      <c r="L25" s="9"/>
      <c r="M25" s="9"/>
      <c r="N25" s="9"/>
      <c r="O25" s="9"/>
      <c r="P25" s="9"/>
      <c r="Q25" s="9"/>
      <c r="R25" s="9"/>
      <c r="S25" s="9"/>
      <c r="T25" s="9"/>
      <c r="U25" s="9"/>
      <c r="V25" s="9"/>
      <c r="W25" s="9"/>
      <c r="X25" s="9"/>
      <c r="Y25" s="9"/>
      <c r="Z25" s="9"/>
      <c r="AA25" s="9"/>
      <c r="AB25" s="9"/>
      <c r="AC25" s="9"/>
      <c r="AD25" s="9"/>
    </row>
    <row r="26" spans="1:30" ht="14.25" customHeight="1" x14ac:dyDescent="0.3">
      <c r="A26" s="1"/>
      <c r="B26" s="10" t="s">
        <v>202</v>
      </c>
      <c r="C26" s="11"/>
      <c r="D26" s="1"/>
      <c r="E26" s="1"/>
      <c r="F26" s="1"/>
      <c r="G26" s="9"/>
      <c r="H26" s="9"/>
      <c r="I26" s="9"/>
      <c r="J26" s="9"/>
      <c r="K26" s="9"/>
      <c r="L26" s="9"/>
      <c r="M26" s="9"/>
      <c r="N26" s="9"/>
      <c r="O26" s="9"/>
      <c r="P26" s="9"/>
      <c r="Q26" s="9"/>
      <c r="R26" s="9"/>
      <c r="S26" s="9"/>
      <c r="T26" s="9"/>
      <c r="U26" s="9"/>
      <c r="V26" s="9"/>
      <c r="W26" s="9"/>
      <c r="X26" s="9"/>
      <c r="Y26" s="9"/>
      <c r="Z26" s="9"/>
      <c r="AA26" s="9"/>
      <c r="AB26" s="9"/>
      <c r="AC26" s="9"/>
      <c r="AD26" s="9"/>
    </row>
    <row r="27" spans="1:30" ht="14.25" customHeight="1" x14ac:dyDescent="0.3">
      <c r="A27" s="1"/>
      <c r="B27" t="s">
        <v>203</v>
      </c>
      <c r="C27" s="19">
        <f>Assumptions!C88/Assumptions!C23</f>
        <v>15</v>
      </c>
      <c r="D27" s="1"/>
      <c r="E27" s="1"/>
      <c r="F27" s="1"/>
      <c r="G27" s="9"/>
      <c r="H27" s="9"/>
      <c r="I27" s="9"/>
      <c r="J27" s="9"/>
      <c r="K27" s="9"/>
      <c r="L27" s="9"/>
      <c r="M27" s="9"/>
      <c r="N27" s="9"/>
      <c r="O27" s="9"/>
      <c r="P27" s="9"/>
      <c r="Q27" s="9"/>
      <c r="R27" s="9"/>
      <c r="S27" s="9"/>
      <c r="T27" s="9"/>
      <c r="U27" s="9"/>
      <c r="V27" s="9"/>
      <c r="W27" s="9"/>
      <c r="X27" s="9"/>
      <c r="Y27" s="9"/>
      <c r="Z27" s="9"/>
      <c r="AA27" s="9"/>
      <c r="AB27" s="9"/>
      <c r="AC27" s="9"/>
      <c r="AD27" s="9"/>
    </row>
    <row r="28" spans="1:30" ht="14.25" customHeight="1" x14ac:dyDescent="0.3">
      <c r="A28" s="1"/>
      <c r="B28" t="s">
        <v>204</v>
      </c>
      <c r="C28" s="19">
        <f>Assumptions!C88/(Assumptions!C23*Assumptions!C25)</f>
        <v>37.5</v>
      </c>
      <c r="D28" s="1"/>
      <c r="E28" s="1"/>
      <c r="F28" s="1"/>
      <c r="G28" s="9"/>
      <c r="H28" s="9"/>
      <c r="I28" s="9"/>
      <c r="J28" s="9"/>
      <c r="K28" s="9"/>
      <c r="L28" s="9"/>
      <c r="M28" s="9"/>
      <c r="N28" s="9"/>
      <c r="O28" s="9"/>
      <c r="P28" s="9"/>
      <c r="Q28" s="9"/>
      <c r="R28" s="9"/>
      <c r="S28" s="9"/>
      <c r="T28" s="9"/>
      <c r="U28" s="9"/>
      <c r="V28" s="9"/>
      <c r="W28" s="9"/>
      <c r="X28" s="9"/>
      <c r="Y28" s="9"/>
      <c r="Z28" s="9"/>
      <c r="AA28" s="9"/>
      <c r="AB28" s="9"/>
      <c r="AC28" s="9"/>
      <c r="AD28" s="9"/>
    </row>
    <row r="29" spans="1:30" ht="14.25" customHeight="1" x14ac:dyDescent="0.3">
      <c r="A29" s="1"/>
      <c r="B29" t="s">
        <v>205</v>
      </c>
      <c r="C29" s="19">
        <f>Assumptions!C87/((Assumptions!C23*Assumptions!C25-Assumptions!C23*Assumptions!C26-Assumptions!C27)*(1-Assumptions!C28))</f>
        <v>285.71428571428572</v>
      </c>
      <c r="D29" s="1"/>
      <c r="E29" s="1"/>
      <c r="F29" s="1"/>
      <c r="G29" s="9"/>
      <c r="H29" s="9"/>
      <c r="I29" s="9"/>
      <c r="J29" s="9"/>
      <c r="K29" s="9"/>
      <c r="L29" s="9"/>
      <c r="M29" s="9"/>
      <c r="N29" s="9"/>
      <c r="O29" s="9"/>
      <c r="P29" s="9"/>
      <c r="Q29" s="9"/>
      <c r="R29" s="9"/>
      <c r="S29" s="9"/>
      <c r="T29" s="9"/>
      <c r="U29" s="9"/>
      <c r="V29" s="9"/>
      <c r="W29" s="9"/>
      <c r="X29" s="9"/>
      <c r="Y29" s="9"/>
      <c r="Z29" s="9"/>
      <c r="AA29" s="9"/>
      <c r="AB29" s="9"/>
      <c r="AC29" s="9"/>
      <c r="AD29" s="9"/>
    </row>
    <row r="30" spans="1:30" ht="14.25" customHeight="1" x14ac:dyDescent="0.3">
      <c r="A30" s="1"/>
      <c r="B30" t="s">
        <v>27</v>
      </c>
      <c r="C30" s="33">
        <f>Assumptions!C34</f>
        <v>0.25</v>
      </c>
      <c r="D30" s="1"/>
      <c r="E30" s="1"/>
      <c r="F30" s="1"/>
      <c r="G30" s="9"/>
      <c r="H30" s="9"/>
      <c r="I30" s="9"/>
      <c r="J30" s="9"/>
      <c r="K30" s="9"/>
      <c r="L30" s="9"/>
      <c r="M30" s="9"/>
      <c r="N30" s="9"/>
      <c r="O30" s="9"/>
      <c r="P30" s="9"/>
      <c r="Q30" s="9"/>
      <c r="R30" s="9"/>
      <c r="S30" s="9"/>
      <c r="T30" s="9"/>
      <c r="U30" s="9"/>
      <c r="V30" s="9"/>
      <c r="W30" s="9"/>
      <c r="X30" s="9"/>
      <c r="Y30" s="9"/>
      <c r="Z30" s="9"/>
      <c r="AA30" s="9"/>
      <c r="AB30" s="9"/>
      <c r="AC30" s="9"/>
      <c r="AD30" s="9"/>
    </row>
    <row r="31" spans="1:30" ht="14.25" customHeight="1" x14ac:dyDescent="0.3">
      <c r="A31" s="1"/>
      <c r="B31" t="s">
        <v>206</v>
      </c>
      <c r="C31" s="84">
        <f>Assumptions!C89/Assumptions!C13/Assumptions!C30</f>
        <v>0.02</v>
      </c>
      <c r="D31" s="1"/>
      <c r="E31" s="5" t="s">
        <v>207</v>
      </c>
      <c r="F31" s="1"/>
      <c r="G31" s="9"/>
      <c r="H31" s="9"/>
      <c r="I31" s="9"/>
      <c r="J31" s="9"/>
      <c r="K31" s="9"/>
      <c r="L31" s="9"/>
      <c r="M31" s="9"/>
      <c r="N31" s="9"/>
      <c r="O31" s="9"/>
      <c r="P31" s="9"/>
      <c r="Q31" s="9"/>
      <c r="R31" s="9"/>
      <c r="S31" s="9"/>
      <c r="T31" s="9"/>
      <c r="U31" s="9"/>
      <c r="V31" s="9"/>
      <c r="W31" s="9"/>
      <c r="X31" s="9"/>
      <c r="Y31" s="9"/>
      <c r="Z31" s="9"/>
      <c r="AA31" s="9"/>
      <c r="AB31" s="9"/>
      <c r="AC31" s="9"/>
      <c r="AD31" s="9"/>
    </row>
  </sheetData>
  <pageMargins left="0.75" right="0.75" top="1" bottom="1"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AD50"/>
  <sheetViews>
    <sheetView showGridLines="0" zoomScaleNormal="100" workbookViewId="0">
      <selection activeCell="Q1" sqref="Q1:AD3"/>
    </sheetView>
  </sheetViews>
  <sheetFormatPr defaultColWidth="8.59765625" defaultRowHeight="13.8" x14ac:dyDescent="0.25"/>
  <cols>
    <col min="1" max="1" width="1.8984375" customWidth="1"/>
    <col min="2" max="2" width="32" customWidth="1"/>
    <col min="3" max="7" width="16" customWidth="1"/>
  </cols>
  <sheetData>
    <row r="1" spans="1:30" ht="14.25" customHeight="1" x14ac:dyDescent="0.3">
      <c r="A1" s="86"/>
      <c r="B1" s="86"/>
      <c r="C1" s="86"/>
      <c r="D1" s="86"/>
      <c r="E1" s="86"/>
      <c r="F1" s="86"/>
      <c r="G1" s="86"/>
      <c r="H1" s="87"/>
      <c r="I1" s="87"/>
      <c r="J1" s="87"/>
      <c r="K1" s="87"/>
      <c r="L1" s="87"/>
      <c r="M1" s="87"/>
      <c r="N1" s="87"/>
      <c r="O1" s="87"/>
      <c r="P1" s="87"/>
      <c r="Q1" s="85"/>
      <c r="R1" s="85"/>
      <c r="S1" s="85"/>
      <c r="T1" s="85"/>
      <c r="U1" s="85"/>
      <c r="V1" s="85"/>
      <c r="W1" s="85"/>
      <c r="X1" s="85"/>
      <c r="Y1" s="85"/>
      <c r="Z1" s="85"/>
      <c r="AA1" s="85"/>
      <c r="AB1" s="85"/>
      <c r="AC1" s="85"/>
      <c r="AD1" s="85"/>
    </row>
    <row r="2" spans="1:30" ht="21.75" customHeight="1" x14ac:dyDescent="0.4">
      <c r="A2" s="86"/>
      <c r="B2" s="88" t="s">
        <v>208</v>
      </c>
      <c r="C2" s="86"/>
      <c r="D2" s="86"/>
      <c r="E2" s="86"/>
      <c r="F2" s="86"/>
      <c r="G2" s="86"/>
      <c r="H2" s="87"/>
      <c r="I2" s="87"/>
      <c r="J2" s="87"/>
      <c r="K2" s="87"/>
      <c r="L2" s="87"/>
      <c r="M2" s="87"/>
      <c r="N2" s="87"/>
      <c r="O2" s="87"/>
      <c r="P2" s="87"/>
      <c r="Q2" s="85"/>
      <c r="R2" s="85"/>
      <c r="S2" s="85"/>
      <c r="T2" s="85"/>
      <c r="U2" s="85"/>
      <c r="V2" s="85"/>
      <c r="W2" s="85"/>
      <c r="X2" s="85"/>
      <c r="Y2" s="85"/>
      <c r="Z2" s="85"/>
      <c r="AA2" s="85"/>
      <c r="AB2" s="85"/>
      <c r="AC2" s="85"/>
      <c r="AD2" s="85"/>
    </row>
    <row r="3" spans="1:30" ht="14.25" customHeight="1" x14ac:dyDescent="0.3">
      <c r="A3" s="86"/>
      <c r="B3" s="90" t="s">
        <v>209</v>
      </c>
      <c r="C3" s="86"/>
      <c r="D3" s="86"/>
      <c r="E3" s="86"/>
      <c r="F3" s="86"/>
      <c r="G3" s="86"/>
      <c r="H3" s="87"/>
      <c r="I3" s="87"/>
      <c r="J3" s="87"/>
      <c r="K3" s="87"/>
      <c r="L3" s="87"/>
      <c r="M3" s="87"/>
      <c r="N3" s="87"/>
      <c r="O3" s="87"/>
      <c r="P3" s="87"/>
      <c r="Q3" s="85"/>
      <c r="R3" s="85"/>
      <c r="S3" s="85"/>
      <c r="T3" s="85"/>
      <c r="U3" s="85"/>
      <c r="V3" s="85"/>
      <c r="W3" s="85"/>
      <c r="X3" s="85"/>
      <c r="Y3" s="85"/>
      <c r="Z3" s="85"/>
      <c r="AA3" s="85"/>
      <c r="AB3" s="85"/>
      <c r="AC3" s="85"/>
      <c r="AD3" s="85"/>
    </row>
    <row r="4" spans="1:30" ht="14.25" customHeight="1" x14ac:dyDescent="0.3">
      <c r="A4" s="1"/>
      <c r="B4" s="1"/>
      <c r="C4" s="1"/>
      <c r="D4" s="1"/>
      <c r="E4" s="1"/>
      <c r="F4" s="1"/>
      <c r="G4" s="1"/>
      <c r="H4" s="9"/>
      <c r="I4" s="9"/>
      <c r="J4" s="9"/>
      <c r="K4" s="9"/>
      <c r="L4" s="9"/>
      <c r="M4" s="9"/>
      <c r="N4" s="9"/>
      <c r="O4" s="9"/>
      <c r="P4" s="9"/>
      <c r="Q4" s="9"/>
      <c r="R4" s="9"/>
      <c r="S4" s="9"/>
      <c r="T4" s="9"/>
      <c r="U4" s="9"/>
      <c r="V4" s="9"/>
      <c r="W4" s="9"/>
      <c r="X4" s="9"/>
      <c r="Y4" s="9"/>
      <c r="Z4" s="9"/>
      <c r="AA4" s="9"/>
      <c r="AB4" s="9"/>
      <c r="AC4" s="9"/>
      <c r="AD4" s="9"/>
    </row>
    <row r="5" spans="1:30" ht="14.25" customHeight="1" x14ac:dyDescent="0.3">
      <c r="A5" s="1"/>
      <c r="B5" s="1"/>
      <c r="C5" s="1"/>
      <c r="D5" s="1"/>
      <c r="E5" s="1"/>
      <c r="F5" s="1"/>
      <c r="G5" s="1"/>
      <c r="H5" s="9"/>
      <c r="I5" s="9"/>
      <c r="J5" s="9"/>
      <c r="K5" s="9"/>
      <c r="L5" s="9"/>
      <c r="M5" s="9"/>
      <c r="N5" s="9"/>
      <c r="O5" s="9"/>
      <c r="P5" s="9"/>
      <c r="Q5" s="9"/>
      <c r="R5" s="9"/>
      <c r="S5" s="9"/>
      <c r="T5" s="9"/>
      <c r="U5" s="9"/>
      <c r="V5" s="9"/>
      <c r="W5" s="9"/>
      <c r="X5" s="9"/>
      <c r="Y5" s="9"/>
      <c r="Z5" s="9"/>
      <c r="AA5" s="9"/>
      <c r="AB5" s="9"/>
      <c r="AC5" s="9"/>
      <c r="AD5" s="9"/>
    </row>
    <row r="6" spans="1:30" ht="14.25" customHeight="1" x14ac:dyDescent="0.3">
      <c r="A6" s="1"/>
      <c r="B6" s="5" t="s">
        <v>67</v>
      </c>
      <c r="C6" s="28" t="s">
        <v>210</v>
      </c>
      <c r="D6" s="28" t="s">
        <v>211</v>
      </c>
      <c r="E6" s="28" t="s">
        <v>212</v>
      </c>
      <c r="F6" s="28" t="s">
        <v>213</v>
      </c>
      <c r="G6" s="28" t="s">
        <v>214</v>
      </c>
      <c r="H6" s="9"/>
      <c r="I6" s="9"/>
      <c r="J6" s="9"/>
      <c r="K6" s="9"/>
      <c r="L6" s="9"/>
      <c r="M6" s="9"/>
      <c r="N6" s="9"/>
      <c r="O6" s="9"/>
      <c r="P6" s="9"/>
      <c r="Q6" s="9"/>
      <c r="R6" s="9"/>
      <c r="S6" s="9"/>
      <c r="T6" s="9"/>
      <c r="U6" s="9"/>
      <c r="V6" s="9"/>
      <c r="W6" s="9"/>
      <c r="X6" s="9"/>
      <c r="Y6" s="9"/>
      <c r="Z6" s="9"/>
      <c r="AA6" s="9"/>
      <c r="AB6" s="9"/>
      <c r="AC6" s="9"/>
      <c r="AD6" s="9"/>
    </row>
    <row r="7" spans="1:30" ht="14.25" customHeight="1" x14ac:dyDescent="0.3">
      <c r="A7" s="1"/>
      <c r="B7" s="3" t="s">
        <v>215</v>
      </c>
      <c r="C7" s="34"/>
      <c r="D7" s="34"/>
      <c r="E7" s="34"/>
      <c r="F7" s="34"/>
      <c r="G7" s="34"/>
      <c r="H7" s="9"/>
      <c r="I7" s="9"/>
      <c r="J7" s="9"/>
      <c r="K7" s="9"/>
      <c r="L7" s="9"/>
      <c r="M7" s="9"/>
      <c r="N7" s="9"/>
      <c r="O7" s="9"/>
      <c r="P7" s="9"/>
      <c r="Q7" s="9"/>
      <c r="R7" s="9"/>
      <c r="S7" s="9"/>
      <c r="T7" s="9"/>
      <c r="U7" s="9"/>
      <c r="V7" s="9"/>
      <c r="W7" s="9"/>
      <c r="X7" s="9"/>
      <c r="Y7" s="9"/>
      <c r="Z7" s="9"/>
      <c r="AA7" s="9"/>
      <c r="AB7" s="9"/>
      <c r="AC7" s="9"/>
      <c r="AD7" s="9"/>
    </row>
    <row r="8" spans="1:30" ht="14.25" customHeight="1" x14ac:dyDescent="0.3">
      <c r="A8" s="1"/>
      <c r="B8" t="s">
        <v>66</v>
      </c>
      <c r="C8" s="27">
        <f>Assumptions!C6*(1+Assumptions!C7)^1</f>
        <v>48300</v>
      </c>
      <c r="D8" s="27">
        <f>Assumptions!C6*(1+Assumptions!C7)^2</f>
        <v>50715</v>
      </c>
      <c r="E8" s="27">
        <f>Assumptions!C6*(1+Assumptions!C7)^3</f>
        <v>53250.750000000007</v>
      </c>
      <c r="F8" s="27">
        <f>Assumptions!C6*(1+Assumptions!C7)^4</f>
        <v>55913.287499999999</v>
      </c>
      <c r="G8" s="27">
        <f>Assumptions!C6*(1+Assumptions!C7)^5</f>
        <v>58708.951875000006</v>
      </c>
      <c r="H8" s="9"/>
      <c r="I8" s="9"/>
      <c r="J8" s="9"/>
      <c r="K8" s="9"/>
      <c r="L8" s="9"/>
      <c r="M8" s="9"/>
      <c r="N8" s="9"/>
      <c r="O8" s="9"/>
      <c r="P8" s="9"/>
      <c r="Q8" s="9"/>
      <c r="R8" s="9"/>
      <c r="S8" s="9"/>
      <c r="T8" s="9"/>
      <c r="U8" s="9"/>
      <c r="V8" s="9"/>
      <c r="W8" s="9"/>
      <c r="X8" s="9"/>
      <c r="Y8" s="9"/>
      <c r="Z8" s="9"/>
      <c r="AA8" s="9"/>
      <c r="AB8" s="9"/>
      <c r="AC8" s="9"/>
      <c r="AD8" s="9"/>
    </row>
    <row r="9" spans="1:30" ht="14.25" customHeight="1" x14ac:dyDescent="0.3">
      <c r="A9" s="1"/>
      <c r="B9" s="35" t="s">
        <v>216</v>
      </c>
      <c r="C9" s="27">
        <f>C8*Assumptions!C8</f>
        <v>12075</v>
      </c>
      <c r="D9" s="27">
        <f>D8*Assumptions!C8</f>
        <v>12678.75</v>
      </c>
      <c r="E9" s="27">
        <f>E8*Assumptions!C8</f>
        <v>13312.687500000002</v>
      </c>
      <c r="F9" s="27">
        <f>F8*Assumptions!C8</f>
        <v>13978.321875</v>
      </c>
      <c r="G9" s="27">
        <f>G8*Assumptions!C8</f>
        <v>14677.237968750002</v>
      </c>
      <c r="H9" s="9"/>
      <c r="I9" s="9"/>
      <c r="J9" s="9"/>
      <c r="K9" s="9"/>
      <c r="L9" s="9"/>
      <c r="M9" s="9"/>
      <c r="N9" s="9"/>
      <c r="O9" s="9"/>
      <c r="P9" s="9"/>
      <c r="Q9" s="9"/>
      <c r="R9" s="9"/>
      <c r="S9" s="9"/>
      <c r="T9" s="9"/>
      <c r="U9" s="9"/>
      <c r="V9" s="9"/>
      <c r="W9" s="9"/>
      <c r="X9" s="9"/>
      <c r="Y9" s="9"/>
      <c r="Z9" s="9"/>
      <c r="AA9" s="9"/>
      <c r="AB9" s="9"/>
      <c r="AC9" s="9"/>
      <c r="AD9" s="9"/>
    </row>
    <row r="10" spans="1:30" ht="14.25" customHeight="1" x14ac:dyDescent="0.3">
      <c r="A10" s="1"/>
      <c r="B10" s="35" t="s">
        <v>217</v>
      </c>
      <c r="C10" s="27">
        <f>C8*Assumptions!C9</f>
        <v>1932</v>
      </c>
      <c r="D10" s="27">
        <f>D8*Assumptions!C9</f>
        <v>2028.6000000000001</v>
      </c>
      <c r="E10" s="27">
        <f>E8*Assumptions!C9</f>
        <v>2130.0300000000002</v>
      </c>
      <c r="F10" s="27">
        <f>F8*Assumptions!C9</f>
        <v>2236.5315000000001</v>
      </c>
      <c r="G10" s="27">
        <f>G8*Assumptions!C9</f>
        <v>2348.3580750000001</v>
      </c>
      <c r="H10" s="9"/>
      <c r="I10" s="9"/>
      <c r="J10" s="9"/>
      <c r="K10" s="9"/>
      <c r="L10" s="9"/>
      <c r="M10" s="9"/>
      <c r="N10" s="9"/>
      <c r="O10" s="9"/>
      <c r="P10" s="9"/>
      <c r="Q10" s="9"/>
      <c r="R10" s="9"/>
      <c r="S10" s="9"/>
      <c r="T10" s="9"/>
      <c r="U10" s="9"/>
      <c r="V10" s="9"/>
      <c r="W10" s="9"/>
      <c r="X10" s="9"/>
      <c r="Y10" s="9"/>
      <c r="Z10" s="9"/>
      <c r="AA10" s="9"/>
      <c r="AB10" s="9"/>
      <c r="AC10" s="9"/>
      <c r="AD10" s="9"/>
    </row>
    <row r="11" spans="1:30" ht="14.25" customHeight="1" x14ac:dyDescent="0.3">
      <c r="A11" s="1"/>
      <c r="B11" s="36" t="s">
        <v>218</v>
      </c>
      <c r="C11" s="37">
        <f>C9-C10</f>
        <v>10143</v>
      </c>
      <c r="D11" s="37">
        <f>D9-D10</f>
        <v>10650.15</v>
      </c>
      <c r="E11" s="37">
        <f>E9-E10</f>
        <v>11182.657500000001</v>
      </c>
      <c r="F11" s="37">
        <f>F9-F10</f>
        <v>11741.790375</v>
      </c>
      <c r="G11" s="37">
        <f>G9-G10</f>
        <v>12328.879893750001</v>
      </c>
      <c r="H11" s="9"/>
      <c r="I11" s="9"/>
      <c r="J11" s="9"/>
      <c r="K11" s="9"/>
      <c r="L11" s="9"/>
      <c r="M11" s="9"/>
      <c r="N11" s="9"/>
      <c r="O11" s="9"/>
      <c r="P11" s="9"/>
      <c r="Q11" s="9"/>
      <c r="R11" s="9"/>
      <c r="S11" s="9"/>
      <c r="T11" s="9"/>
      <c r="U11" s="9"/>
      <c r="V11" s="9"/>
      <c r="W11" s="9"/>
      <c r="X11" s="9"/>
      <c r="Y11" s="9"/>
      <c r="Z11" s="9"/>
      <c r="AA11" s="9"/>
      <c r="AB11" s="9"/>
      <c r="AC11" s="9"/>
      <c r="AD11" s="9"/>
    </row>
    <row r="12" spans="1:30" ht="14.25" customHeight="1" x14ac:dyDescent="0.3">
      <c r="A12" s="1"/>
      <c r="B12" s="1"/>
      <c r="C12" s="1"/>
      <c r="D12" s="1"/>
      <c r="E12" s="1"/>
      <c r="F12" s="1"/>
      <c r="G12" s="1"/>
      <c r="H12" s="9"/>
      <c r="I12" s="9"/>
      <c r="J12" s="9"/>
      <c r="K12" s="9"/>
      <c r="L12" s="9"/>
      <c r="M12" s="9"/>
      <c r="N12" s="9"/>
      <c r="O12" s="9"/>
      <c r="P12" s="9"/>
      <c r="Q12" s="9"/>
      <c r="R12" s="9"/>
      <c r="S12" s="9"/>
      <c r="T12" s="9"/>
      <c r="U12" s="9"/>
      <c r="V12" s="9"/>
      <c r="W12" s="9"/>
      <c r="X12" s="9"/>
      <c r="Y12" s="9"/>
      <c r="Z12" s="9"/>
      <c r="AA12" s="9"/>
      <c r="AB12" s="9"/>
      <c r="AC12" s="9"/>
      <c r="AD12" s="9"/>
    </row>
    <row r="13" spans="1:30" ht="14.25" customHeight="1" x14ac:dyDescent="0.3">
      <c r="A13" s="1"/>
      <c r="B13" s="3" t="s">
        <v>219</v>
      </c>
      <c r="C13" s="34"/>
      <c r="D13" s="34"/>
      <c r="E13" s="34"/>
      <c r="F13" s="34"/>
      <c r="G13" s="34"/>
      <c r="H13" s="9"/>
      <c r="I13" s="9"/>
      <c r="J13" s="9"/>
      <c r="K13" s="9"/>
      <c r="L13" s="9"/>
      <c r="M13" s="9"/>
      <c r="N13" s="9"/>
      <c r="O13" s="9"/>
      <c r="P13" s="9"/>
      <c r="Q13" s="9"/>
      <c r="R13" s="9"/>
      <c r="S13" s="9"/>
      <c r="T13" s="9"/>
      <c r="U13" s="9"/>
      <c r="V13" s="9"/>
      <c r="W13" s="9"/>
      <c r="X13" s="9"/>
      <c r="Y13" s="9"/>
      <c r="Z13" s="9"/>
      <c r="AA13" s="9"/>
      <c r="AB13" s="9"/>
      <c r="AC13" s="9"/>
      <c r="AD13" s="9"/>
    </row>
    <row r="14" spans="1:30" ht="14.25" customHeight="1" x14ac:dyDescent="0.3">
      <c r="A14" s="1"/>
      <c r="B14" t="s">
        <v>66</v>
      </c>
      <c r="C14" s="27">
        <f>Assumptions!C23*(1+Assumptions!C24)^1</f>
        <v>162</v>
      </c>
      <c r="D14" s="27">
        <f>Assumptions!C23*(1+Assumptions!C24)^2</f>
        <v>174.96</v>
      </c>
      <c r="E14" s="27">
        <f>Assumptions!C23*(1+Assumptions!C24)^3</f>
        <v>188.95680000000002</v>
      </c>
      <c r="F14" s="27">
        <f>Assumptions!C23*(1+Assumptions!C24)^4</f>
        <v>204.07334400000005</v>
      </c>
      <c r="G14" s="27">
        <f>Assumptions!C23*(1+Assumptions!C24)^5</f>
        <v>220.39921152000005</v>
      </c>
      <c r="H14" s="9"/>
      <c r="I14" s="9"/>
      <c r="J14" s="9"/>
      <c r="K14" s="9"/>
      <c r="L14" s="9"/>
      <c r="M14" s="9"/>
      <c r="N14" s="9"/>
      <c r="O14" s="9"/>
      <c r="P14" s="9"/>
      <c r="Q14" s="9"/>
      <c r="R14" s="9"/>
      <c r="S14" s="9"/>
      <c r="T14" s="9"/>
      <c r="U14" s="9"/>
      <c r="V14" s="9"/>
      <c r="W14" s="9"/>
      <c r="X14" s="9"/>
      <c r="Y14" s="9"/>
      <c r="Z14" s="9"/>
      <c r="AA14" s="9"/>
      <c r="AB14" s="9"/>
      <c r="AC14" s="9"/>
      <c r="AD14" s="9"/>
    </row>
    <row r="15" spans="1:30" ht="14.25" customHeight="1" x14ac:dyDescent="0.3">
      <c r="A15" s="1"/>
      <c r="B15" s="35" t="s">
        <v>216</v>
      </c>
      <c r="C15" s="27">
        <f>C14*Assumptions!C25</f>
        <v>64.8</v>
      </c>
      <c r="D15" s="27">
        <f>D14*Assumptions!C25</f>
        <v>69.984000000000009</v>
      </c>
      <c r="E15" s="27">
        <f>E14*Assumptions!C25</f>
        <v>75.582720000000009</v>
      </c>
      <c r="F15" s="27">
        <f>F14*Assumptions!C25</f>
        <v>81.629337600000028</v>
      </c>
      <c r="G15" s="27">
        <f>G14*Assumptions!C25</f>
        <v>88.15968460800002</v>
      </c>
      <c r="H15" s="9"/>
      <c r="I15" s="9"/>
      <c r="J15" s="9"/>
      <c r="K15" s="9"/>
      <c r="L15" s="9"/>
      <c r="M15" s="9"/>
      <c r="N15" s="9"/>
      <c r="O15" s="9"/>
      <c r="P15" s="9"/>
      <c r="Q15" s="9"/>
      <c r="R15" s="9"/>
      <c r="S15" s="9"/>
      <c r="T15" s="9"/>
      <c r="U15" s="9"/>
      <c r="V15" s="9"/>
      <c r="W15" s="9"/>
      <c r="X15" s="9"/>
      <c r="Y15" s="9"/>
      <c r="Z15" s="9"/>
      <c r="AA15" s="9"/>
      <c r="AB15" s="9"/>
      <c r="AC15" s="9"/>
      <c r="AD15" s="9"/>
    </row>
    <row r="16" spans="1:30" ht="14.25" customHeight="1" x14ac:dyDescent="0.3">
      <c r="A16" s="1"/>
      <c r="B16" s="35" t="s">
        <v>217</v>
      </c>
      <c r="C16" s="27">
        <f>C14*Assumptions!C26</f>
        <v>4.8599999999999994</v>
      </c>
      <c r="D16" s="27">
        <f>D14*Assumptions!C26</f>
        <v>5.2488000000000001</v>
      </c>
      <c r="E16" s="27">
        <f>E14*Assumptions!C26</f>
        <v>5.668704</v>
      </c>
      <c r="F16" s="27">
        <f>F14*Assumptions!C26</f>
        <v>6.122200320000001</v>
      </c>
      <c r="G16" s="27">
        <f>G14*Assumptions!C26</f>
        <v>6.6119763456000014</v>
      </c>
      <c r="H16" s="9"/>
      <c r="I16" s="9"/>
      <c r="J16" s="9"/>
      <c r="K16" s="9"/>
      <c r="L16" s="9"/>
      <c r="M16" s="9"/>
      <c r="N16" s="9"/>
      <c r="O16" s="9"/>
      <c r="P16" s="9"/>
      <c r="Q16" s="9"/>
      <c r="R16" s="9"/>
      <c r="S16" s="9"/>
      <c r="T16" s="9"/>
      <c r="U16" s="9"/>
      <c r="V16" s="9"/>
      <c r="W16" s="9"/>
      <c r="X16" s="9"/>
      <c r="Y16" s="9"/>
      <c r="Z16" s="9"/>
      <c r="AA16" s="9"/>
      <c r="AB16" s="9"/>
      <c r="AC16" s="9"/>
      <c r="AD16" s="9"/>
    </row>
    <row r="17" spans="1:30" ht="14.25" customHeight="1" x14ac:dyDescent="0.3">
      <c r="A17" s="1"/>
      <c r="B17" s="36" t="s">
        <v>220</v>
      </c>
      <c r="C17" s="37">
        <f>C15-C16</f>
        <v>59.94</v>
      </c>
      <c r="D17" s="37">
        <f>D15-D16</f>
        <v>64.735200000000006</v>
      </c>
      <c r="E17" s="37">
        <f>E15-E16</f>
        <v>69.914016000000004</v>
      </c>
      <c r="F17" s="37">
        <f>F15-F16</f>
        <v>75.507137280000023</v>
      </c>
      <c r="G17" s="37">
        <f>G15-G16</f>
        <v>81.547708262400022</v>
      </c>
      <c r="H17" s="9"/>
      <c r="I17" s="9"/>
      <c r="J17" s="9"/>
      <c r="K17" s="9"/>
      <c r="L17" s="9"/>
      <c r="M17" s="9"/>
      <c r="N17" s="9"/>
      <c r="O17" s="9"/>
      <c r="P17" s="9"/>
      <c r="Q17" s="9"/>
      <c r="R17" s="9"/>
      <c r="S17" s="9"/>
      <c r="T17" s="9"/>
      <c r="U17" s="9"/>
      <c r="V17" s="9"/>
      <c r="W17" s="9"/>
      <c r="X17" s="9"/>
      <c r="Y17" s="9"/>
      <c r="Z17" s="9"/>
      <c r="AA17" s="9"/>
      <c r="AB17" s="9"/>
      <c r="AC17" s="9"/>
      <c r="AD17" s="9"/>
    </row>
    <row r="18" spans="1:30" ht="14.25" customHeight="1" x14ac:dyDescent="0.3">
      <c r="A18" s="1"/>
      <c r="B18" s="1"/>
      <c r="C18" s="1"/>
      <c r="D18" s="1"/>
      <c r="E18" s="1"/>
      <c r="F18" s="1"/>
      <c r="G18" s="1"/>
      <c r="H18" s="9"/>
      <c r="I18" s="9"/>
      <c r="J18" s="9"/>
      <c r="K18" s="9"/>
      <c r="L18" s="9"/>
      <c r="M18" s="9"/>
      <c r="N18" s="9"/>
      <c r="O18" s="9"/>
      <c r="P18" s="9"/>
      <c r="Q18" s="9"/>
      <c r="R18" s="9"/>
      <c r="S18" s="9"/>
      <c r="T18" s="9"/>
      <c r="U18" s="9"/>
      <c r="V18" s="9"/>
      <c r="W18" s="9"/>
      <c r="X18" s="9"/>
      <c r="Y18" s="9"/>
      <c r="Z18" s="9"/>
      <c r="AA18" s="9"/>
      <c r="AB18" s="9"/>
      <c r="AC18" s="9"/>
      <c r="AD18" s="9"/>
    </row>
    <row r="19" spans="1:30" ht="14.25" customHeight="1" x14ac:dyDescent="0.3">
      <c r="A19" s="1"/>
      <c r="B19" s="3" t="s">
        <v>124</v>
      </c>
      <c r="C19" s="34"/>
      <c r="D19" s="34"/>
      <c r="E19" s="34"/>
      <c r="F19" s="34"/>
      <c r="G19" s="34"/>
      <c r="H19" s="9"/>
      <c r="I19" s="9"/>
      <c r="J19" s="9"/>
      <c r="K19" s="9"/>
      <c r="L19" s="9"/>
      <c r="M19" s="9"/>
      <c r="N19" s="9"/>
      <c r="O19" s="9"/>
      <c r="P19" s="9"/>
      <c r="Q19" s="9"/>
      <c r="R19" s="9"/>
      <c r="S19" s="9"/>
      <c r="T19" s="9"/>
      <c r="U19" s="9"/>
      <c r="V19" s="9"/>
      <c r="W19" s="9"/>
      <c r="X19" s="9"/>
      <c r="Y19" s="9"/>
      <c r="Z19" s="9"/>
      <c r="AA19" s="9"/>
      <c r="AB19" s="9"/>
      <c r="AC19" s="9"/>
      <c r="AD19" s="9"/>
    </row>
    <row r="20" spans="1:30" ht="14.25" customHeight="1" x14ac:dyDescent="0.3">
      <c r="A20" s="1"/>
      <c r="B20" s="35" t="s">
        <v>125</v>
      </c>
      <c r="C20" s="27">
        <f>Assumptions!C50*Assumptions!C53</f>
        <v>50</v>
      </c>
      <c r="D20" s="27">
        <f>Assumptions!C50*Assumptions!C54</f>
        <v>100</v>
      </c>
      <c r="E20" s="27">
        <f>Assumptions!C50*Assumptions!C55</f>
        <v>150</v>
      </c>
      <c r="F20" s="27">
        <f>Assumptions!C50*Assumptions!C56</f>
        <v>200</v>
      </c>
      <c r="G20" s="27">
        <f>Assumptions!C50*Assumptions!C57</f>
        <v>200</v>
      </c>
      <c r="H20" s="9"/>
      <c r="I20" s="9"/>
      <c r="J20" s="9"/>
      <c r="K20" s="9"/>
      <c r="L20" s="9"/>
      <c r="M20" s="9"/>
      <c r="N20" s="9"/>
      <c r="O20" s="9"/>
      <c r="P20" s="9"/>
      <c r="Q20" s="9"/>
      <c r="R20" s="9"/>
      <c r="S20" s="9"/>
      <c r="T20" s="9"/>
      <c r="U20" s="9"/>
      <c r="V20" s="9"/>
      <c r="W20" s="9"/>
      <c r="X20" s="9"/>
      <c r="Y20" s="9"/>
      <c r="Z20" s="9"/>
      <c r="AA20" s="9"/>
      <c r="AB20" s="9"/>
      <c r="AC20" s="9"/>
      <c r="AD20" s="9"/>
    </row>
    <row r="21" spans="1:30" ht="14.25" customHeight="1" x14ac:dyDescent="0.3">
      <c r="A21" s="1"/>
      <c r="B21" s="35" t="s">
        <v>221</v>
      </c>
      <c r="C21" s="27">
        <f>C20*Assumptions!C51</f>
        <v>10</v>
      </c>
      <c r="D21" s="27">
        <f>D20*Assumptions!C51</f>
        <v>20</v>
      </c>
      <c r="E21" s="27">
        <f>E20*Assumptions!C51</f>
        <v>30</v>
      </c>
      <c r="F21" s="27">
        <f>F20*Assumptions!C51</f>
        <v>40</v>
      </c>
      <c r="G21" s="27">
        <f>G20*Assumptions!C51</f>
        <v>40</v>
      </c>
      <c r="H21" s="9"/>
      <c r="I21" s="9"/>
      <c r="J21" s="9"/>
      <c r="K21" s="9"/>
      <c r="L21" s="9"/>
      <c r="M21" s="9"/>
      <c r="N21" s="9"/>
      <c r="O21" s="9"/>
      <c r="P21" s="9"/>
      <c r="Q21" s="9"/>
      <c r="R21" s="9"/>
      <c r="S21" s="9"/>
      <c r="T21" s="9"/>
      <c r="U21" s="9"/>
      <c r="V21" s="9"/>
      <c r="W21" s="9"/>
      <c r="X21" s="9"/>
      <c r="Y21" s="9"/>
      <c r="Z21" s="9"/>
      <c r="AA21" s="9"/>
      <c r="AB21" s="9"/>
      <c r="AC21" s="9"/>
      <c r="AD21" s="9"/>
    </row>
    <row r="22" spans="1:30" ht="14.25" customHeight="1" x14ac:dyDescent="0.3">
      <c r="A22" s="1"/>
      <c r="B22" s="35" t="s">
        <v>130</v>
      </c>
      <c r="C22" s="27">
        <f>Assumptions!C52*Assumptions!C53</f>
        <v>37.5</v>
      </c>
      <c r="D22" s="27">
        <f>Assumptions!C52*Assumptions!C54</f>
        <v>75</v>
      </c>
      <c r="E22" s="27">
        <f>Assumptions!C52*Assumptions!C55</f>
        <v>112.5</v>
      </c>
      <c r="F22" s="27">
        <f>Assumptions!C52*Assumptions!C56</f>
        <v>150</v>
      </c>
      <c r="G22" s="27">
        <f>Assumptions!C52*Assumptions!C57</f>
        <v>150</v>
      </c>
      <c r="H22" s="9"/>
      <c r="I22" s="9"/>
      <c r="J22" s="9"/>
      <c r="K22" s="9"/>
      <c r="L22" s="9"/>
      <c r="M22" s="9"/>
      <c r="N22" s="9"/>
      <c r="O22" s="9"/>
      <c r="P22" s="9"/>
      <c r="Q22" s="9"/>
      <c r="R22" s="9"/>
      <c r="S22" s="9"/>
      <c r="T22" s="9"/>
      <c r="U22" s="9"/>
      <c r="V22" s="9"/>
      <c r="W22" s="9"/>
      <c r="X22" s="9"/>
      <c r="Y22" s="9"/>
      <c r="Z22" s="9"/>
      <c r="AA22" s="9"/>
      <c r="AB22" s="9"/>
      <c r="AC22" s="9"/>
      <c r="AD22" s="9"/>
    </row>
    <row r="23" spans="1:30" ht="14.25" customHeight="1" x14ac:dyDescent="0.3">
      <c r="A23" s="1"/>
      <c r="B23" s="36" t="s">
        <v>222</v>
      </c>
      <c r="C23" s="37">
        <f>C21+C22</f>
        <v>47.5</v>
      </c>
      <c r="D23" s="37">
        <f>D21+D22</f>
        <v>95</v>
      </c>
      <c r="E23" s="37">
        <f>E21+E22</f>
        <v>142.5</v>
      </c>
      <c r="F23" s="37">
        <f>F21+F22</f>
        <v>190</v>
      </c>
      <c r="G23" s="37">
        <f>G21+G22</f>
        <v>190</v>
      </c>
      <c r="H23" s="9"/>
      <c r="I23" s="9"/>
      <c r="J23" s="9"/>
      <c r="K23" s="9"/>
      <c r="L23" s="9"/>
      <c r="M23" s="9"/>
      <c r="N23" s="9"/>
      <c r="O23" s="9"/>
      <c r="P23" s="9"/>
      <c r="Q23" s="9"/>
      <c r="R23" s="9"/>
      <c r="S23" s="9"/>
      <c r="T23" s="9"/>
      <c r="U23" s="9"/>
      <c r="V23" s="9"/>
      <c r="W23" s="9"/>
      <c r="X23" s="9"/>
      <c r="Y23" s="9"/>
      <c r="Z23" s="9"/>
      <c r="AA23" s="9"/>
      <c r="AB23" s="9"/>
      <c r="AC23" s="9"/>
      <c r="AD23" s="9"/>
    </row>
    <row r="24" spans="1:30" ht="14.25" customHeight="1" x14ac:dyDescent="0.3">
      <c r="A24" s="1"/>
      <c r="B24" s="1"/>
      <c r="C24" s="1"/>
      <c r="D24" s="1"/>
      <c r="E24" s="1"/>
      <c r="F24" s="1"/>
      <c r="G24" s="1"/>
      <c r="H24" s="9"/>
      <c r="I24" s="9"/>
      <c r="J24" s="9"/>
      <c r="K24" s="9"/>
      <c r="L24" s="9"/>
      <c r="M24" s="9"/>
      <c r="N24" s="9"/>
      <c r="O24" s="9"/>
      <c r="P24" s="9"/>
      <c r="Q24" s="9"/>
      <c r="R24" s="9"/>
      <c r="S24" s="9"/>
      <c r="T24" s="9"/>
      <c r="U24" s="9"/>
      <c r="V24" s="9"/>
      <c r="W24" s="9"/>
      <c r="X24" s="9"/>
      <c r="Y24" s="9"/>
      <c r="Z24" s="9"/>
      <c r="AA24" s="9"/>
      <c r="AB24" s="9"/>
      <c r="AC24" s="9"/>
      <c r="AD24" s="9"/>
    </row>
    <row r="25" spans="1:30" ht="14.25" customHeight="1" x14ac:dyDescent="0.3">
      <c r="A25" s="1"/>
      <c r="B25" s="3" t="s">
        <v>223</v>
      </c>
      <c r="C25" s="34"/>
      <c r="D25" s="34"/>
      <c r="E25" s="34"/>
      <c r="F25" s="34"/>
      <c r="G25" s="34"/>
      <c r="H25" s="9"/>
      <c r="I25" s="9"/>
      <c r="J25" s="9"/>
      <c r="K25" s="9"/>
      <c r="L25" s="9"/>
      <c r="M25" s="9"/>
      <c r="N25" s="9"/>
      <c r="O25" s="9"/>
      <c r="P25" s="9"/>
      <c r="Q25" s="9"/>
      <c r="R25" s="9"/>
      <c r="S25" s="9"/>
      <c r="T25" s="9"/>
      <c r="U25" s="9"/>
      <c r="V25" s="9"/>
      <c r="W25" s="9"/>
      <c r="X25" s="9"/>
      <c r="Y25" s="9"/>
      <c r="Z25" s="9"/>
      <c r="AA25" s="9"/>
      <c r="AB25" s="9"/>
      <c r="AC25" s="9"/>
      <c r="AD25" s="9"/>
    </row>
    <row r="26" spans="1:30" ht="14.25" customHeight="1" x14ac:dyDescent="0.3">
      <c r="A26" s="1"/>
      <c r="B26" t="s">
        <v>224</v>
      </c>
      <c r="C26" s="27">
        <f>C8+C14+C20</f>
        <v>48512</v>
      </c>
      <c r="D26" s="27">
        <f>D8+D14+D20</f>
        <v>50989.96</v>
      </c>
      <c r="E26" s="27">
        <f>E8+E14+E20</f>
        <v>53589.706800000007</v>
      </c>
      <c r="F26" s="27">
        <f>F8+F14+F20</f>
        <v>56317.360843999995</v>
      </c>
      <c r="G26" s="27">
        <f>G8+G14+G20</f>
        <v>59129.351086520008</v>
      </c>
      <c r="H26" s="9"/>
      <c r="I26" s="9"/>
      <c r="J26" s="9"/>
      <c r="K26" s="9"/>
      <c r="L26" s="9"/>
      <c r="M26" s="9"/>
      <c r="N26" s="9"/>
      <c r="O26" s="9"/>
      <c r="P26" s="9"/>
      <c r="Q26" s="9"/>
      <c r="R26" s="9"/>
      <c r="S26" s="9"/>
      <c r="T26" s="9"/>
      <c r="U26" s="9"/>
      <c r="V26" s="9"/>
      <c r="W26" s="9"/>
      <c r="X26" s="9"/>
      <c r="Y26" s="9"/>
      <c r="Z26" s="9"/>
      <c r="AA26" s="9"/>
      <c r="AB26" s="9"/>
      <c r="AC26" s="9"/>
      <c r="AD26" s="9"/>
    </row>
    <row r="27" spans="1:30" ht="14.25" customHeight="1" x14ac:dyDescent="0.3">
      <c r="A27" s="1"/>
      <c r="B27" t="s">
        <v>225</v>
      </c>
      <c r="C27" s="27">
        <f>C9+C15+C23</f>
        <v>12187.3</v>
      </c>
      <c r="D27" s="27">
        <f>D9+D15+D23</f>
        <v>12843.734</v>
      </c>
      <c r="E27" s="27">
        <f>E9+E15+E23</f>
        <v>13530.770220000002</v>
      </c>
      <c r="F27" s="27">
        <f>F9+F15+F23</f>
        <v>14249.951212599999</v>
      </c>
      <c r="G27" s="27">
        <f>G9+G15+G23</f>
        <v>14955.397653358001</v>
      </c>
      <c r="H27" s="9"/>
      <c r="I27" s="9"/>
      <c r="J27" s="9"/>
      <c r="K27" s="9"/>
      <c r="L27" s="9"/>
      <c r="M27" s="9"/>
      <c r="N27" s="9"/>
      <c r="O27" s="9"/>
      <c r="P27" s="9"/>
      <c r="Q27" s="9"/>
      <c r="R27" s="9"/>
      <c r="S27" s="9"/>
      <c r="T27" s="9"/>
      <c r="U27" s="9"/>
      <c r="V27" s="9"/>
      <c r="W27" s="9"/>
      <c r="X27" s="9"/>
      <c r="Y27" s="9"/>
      <c r="Z27" s="9"/>
      <c r="AA27" s="9"/>
      <c r="AB27" s="9"/>
      <c r="AC27" s="9"/>
      <c r="AD27" s="9"/>
    </row>
    <row r="28" spans="1:30" ht="14.25" customHeight="1" x14ac:dyDescent="0.3">
      <c r="A28" s="1"/>
      <c r="B28" s="35" t="s">
        <v>136</v>
      </c>
      <c r="C28" s="27">
        <f>-Assumptions!C52*Assumptions!C60*Assumptions!C61</f>
        <v>-75</v>
      </c>
      <c r="D28" s="27">
        <f>-Assumptions!C52*Assumptions!C60*Assumptions!C62</f>
        <v>-75</v>
      </c>
      <c r="E28" s="27">
        <f>-Assumptions!C52*Assumptions!C60*Assumptions!C63</f>
        <v>0</v>
      </c>
      <c r="F28" s="27">
        <f>-Assumptions!C52*Assumptions!C60*Assumptions!C64</f>
        <v>0</v>
      </c>
      <c r="G28" s="27">
        <f>-Assumptions!C52*Assumptions!C60*Assumptions!C65</f>
        <v>0</v>
      </c>
      <c r="H28" s="9"/>
      <c r="I28" s="9"/>
      <c r="J28" s="9"/>
      <c r="K28" s="9"/>
      <c r="L28" s="9"/>
      <c r="M28" s="9"/>
      <c r="N28" s="9"/>
      <c r="O28" s="9"/>
      <c r="P28" s="9"/>
      <c r="Q28" s="9"/>
      <c r="R28" s="9"/>
      <c r="S28" s="9"/>
      <c r="T28" s="9"/>
      <c r="U28" s="9"/>
      <c r="V28" s="9"/>
      <c r="W28" s="9"/>
      <c r="X28" s="9"/>
      <c r="Y28" s="9"/>
      <c r="Z28" s="9"/>
      <c r="AA28" s="9"/>
      <c r="AB28" s="9"/>
      <c r="AC28" s="9"/>
      <c r="AD28" s="9"/>
    </row>
    <row r="29" spans="1:30" ht="14.25" customHeight="1" x14ac:dyDescent="0.3">
      <c r="A29" s="1"/>
      <c r="B29" s="36" t="s">
        <v>226</v>
      </c>
      <c r="C29" s="37">
        <f>C27+C28</f>
        <v>12112.3</v>
      </c>
      <c r="D29" s="37">
        <f>D27+D28</f>
        <v>12768.734</v>
      </c>
      <c r="E29" s="37">
        <f>E27+E28</f>
        <v>13530.770220000002</v>
      </c>
      <c r="F29" s="37">
        <f>F27+F28</f>
        <v>14249.951212599999</v>
      </c>
      <c r="G29" s="37">
        <f>G27+G28</f>
        <v>14955.397653358001</v>
      </c>
      <c r="H29" s="9"/>
      <c r="I29" s="9"/>
      <c r="J29" s="9"/>
      <c r="K29" s="9"/>
      <c r="L29" s="9"/>
      <c r="M29" s="9"/>
      <c r="N29" s="9"/>
      <c r="O29" s="9"/>
      <c r="P29" s="9"/>
      <c r="Q29" s="9"/>
      <c r="R29" s="9"/>
      <c r="S29" s="9"/>
      <c r="T29" s="9"/>
      <c r="U29" s="9"/>
      <c r="V29" s="9"/>
      <c r="W29" s="9"/>
      <c r="X29" s="9"/>
      <c r="Y29" s="9"/>
      <c r="Z29" s="9"/>
      <c r="AA29" s="9"/>
      <c r="AB29" s="9"/>
      <c r="AC29" s="9"/>
      <c r="AD29" s="9"/>
    </row>
    <row r="30" spans="1:30" ht="14.25" customHeight="1" x14ac:dyDescent="0.3">
      <c r="A30" s="1"/>
      <c r="B30" s="35" t="s">
        <v>227</v>
      </c>
      <c r="C30" s="27">
        <f>C10+C16</f>
        <v>1936.86</v>
      </c>
      <c r="D30" s="27">
        <f>D10+D16</f>
        <v>2033.8488000000002</v>
      </c>
      <c r="E30" s="27">
        <f>E10+E16</f>
        <v>2135.6987040000004</v>
      </c>
      <c r="F30" s="27">
        <f>F10+F16</f>
        <v>2242.6537003200001</v>
      </c>
      <c r="G30" s="27">
        <f>G10+G16</f>
        <v>2354.9700513456</v>
      </c>
      <c r="H30" s="9"/>
      <c r="I30" s="9"/>
      <c r="J30" s="9"/>
      <c r="K30" s="9"/>
      <c r="L30" s="9"/>
      <c r="M30" s="9"/>
      <c r="N30" s="9"/>
      <c r="O30" s="9"/>
      <c r="P30" s="9"/>
      <c r="Q30" s="9"/>
      <c r="R30" s="9"/>
      <c r="S30" s="9"/>
      <c r="T30" s="9"/>
      <c r="U30" s="9"/>
      <c r="V30" s="9"/>
      <c r="W30" s="9"/>
      <c r="X30" s="9"/>
      <c r="Y30" s="9"/>
      <c r="Z30" s="9"/>
      <c r="AA30" s="9"/>
      <c r="AB30" s="9"/>
      <c r="AC30" s="9"/>
      <c r="AD30" s="9"/>
    </row>
    <row r="31" spans="1:30" ht="14.25" customHeight="1" x14ac:dyDescent="0.3">
      <c r="A31" s="1"/>
      <c r="B31" s="35" t="s">
        <v>228</v>
      </c>
      <c r="C31" s="27">
        <f>Transaction_Summary!C19/Assumptions!C72</f>
        <v>33.75</v>
      </c>
      <c r="D31" s="27">
        <f>Transaction_Summary!C19/Assumptions!C72</f>
        <v>33.75</v>
      </c>
      <c r="E31" s="27">
        <f>Transaction_Summary!C19/Assumptions!C72</f>
        <v>33.75</v>
      </c>
      <c r="F31" s="27">
        <f>Transaction_Summary!C19/Assumptions!C72</f>
        <v>33.75</v>
      </c>
      <c r="G31" s="27">
        <f>Transaction_Summary!C19/Assumptions!C72</f>
        <v>33.75</v>
      </c>
      <c r="H31" s="9"/>
      <c r="I31" s="9"/>
      <c r="J31" s="9"/>
      <c r="K31" s="9"/>
      <c r="L31" s="9"/>
      <c r="M31" s="9"/>
      <c r="N31" s="9"/>
      <c r="O31" s="9"/>
      <c r="P31" s="9"/>
      <c r="Q31" s="9"/>
      <c r="R31" s="9"/>
      <c r="S31" s="9"/>
      <c r="T31" s="9"/>
      <c r="U31" s="9"/>
      <c r="V31" s="9"/>
      <c r="W31" s="9"/>
      <c r="X31" s="9"/>
      <c r="Y31" s="9"/>
      <c r="Z31" s="9"/>
      <c r="AA31" s="9"/>
      <c r="AB31" s="9"/>
      <c r="AC31" s="9"/>
      <c r="AD31" s="9"/>
    </row>
    <row r="32" spans="1:30" ht="14.25" customHeight="1" x14ac:dyDescent="0.3">
      <c r="A32" s="1"/>
      <c r="B32" s="35" t="s">
        <v>229</v>
      </c>
      <c r="C32" s="27">
        <f>0</f>
        <v>0</v>
      </c>
      <c r="D32" s="27">
        <f>0</f>
        <v>0</v>
      </c>
      <c r="E32" s="27">
        <f>0</f>
        <v>0</v>
      </c>
      <c r="F32" s="27">
        <f>0</f>
        <v>0</v>
      </c>
      <c r="G32" s="27">
        <f>0</f>
        <v>0</v>
      </c>
      <c r="H32" s="9"/>
      <c r="I32" s="9"/>
      <c r="J32" s="9"/>
      <c r="K32" s="9"/>
      <c r="L32" s="9"/>
      <c r="M32" s="9"/>
      <c r="N32" s="9"/>
      <c r="O32" s="9"/>
      <c r="P32" s="9"/>
      <c r="Q32" s="9"/>
      <c r="R32" s="9"/>
      <c r="S32" s="9"/>
      <c r="T32" s="9"/>
      <c r="U32" s="9"/>
      <c r="V32" s="9"/>
      <c r="W32" s="9"/>
      <c r="X32" s="9"/>
      <c r="Y32" s="9"/>
      <c r="Z32" s="9"/>
      <c r="AA32" s="9"/>
      <c r="AB32" s="9"/>
      <c r="AC32" s="9"/>
      <c r="AD32" s="9"/>
    </row>
    <row r="33" spans="1:30" ht="14.25" customHeight="1" x14ac:dyDescent="0.3">
      <c r="A33" s="1"/>
      <c r="B33" s="36" t="s">
        <v>230</v>
      </c>
      <c r="C33" s="37">
        <f>C30+C31+C32</f>
        <v>1970.61</v>
      </c>
      <c r="D33" s="37">
        <f>D30+D31+D32</f>
        <v>2067.5988000000002</v>
      </c>
      <c r="E33" s="37">
        <f>E30+E31+E32</f>
        <v>2169.4487040000004</v>
      </c>
      <c r="F33" s="37">
        <f>F30+F31+F32</f>
        <v>2276.4037003200001</v>
      </c>
      <c r="G33" s="37">
        <f>G30+G31+G32</f>
        <v>2388.7200513456</v>
      </c>
      <c r="H33" s="9"/>
      <c r="I33" s="9"/>
      <c r="J33" s="9"/>
      <c r="K33" s="9"/>
      <c r="L33" s="9"/>
      <c r="M33" s="9"/>
      <c r="N33" s="9"/>
      <c r="O33" s="9"/>
      <c r="P33" s="9"/>
      <c r="Q33" s="9"/>
      <c r="R33" s="9"/>
      <c r="S33" s="9"/>
      <c r="T33" s="9"/>
      <c r="U33" s="9"/>
      <c r="V33" s="9"/>
      <c r="W33" s="9"/>
      <c r="X33" s="9"/>
      <c r="Y33" s="9"/>
      <c r="Z33" s="9"/>
      <c r="AA33" s="9"/>
      <c r="AB33" s="9"/>
      <c r="AC33" s="9"/>
      <c r="AD33" s="9"/>
    </row>
    <row r="34" spans="1:30" ht="14.25" customHeight="1" x14ac:dyDescent="0.3">
      <c r="A34" s="1"/>
      <c r="B34" s="36" t="s">
        <v>231</v>
      </c>
      <c r="C34" s="37">
        <f>C29-C33</f>
        <v>10141.689999999999</v>
      </c>
      <c r="D34" s="37">
        <f>D29-D33</f>
        <v>10701.135200000001</v>
      </c>
      <c r="E34" s="37">
        <f>E29-E33</f>
        <v>11361.321516000002</v>
      </c>
      <c r="F34" s="37">
        <f>F29-F33</f>
        <v>11973.547512279998</v>
      </c>
      <c r="G34" s="37">
        <f>G29-G33</f>
        <v>12566.677602012402</v>
      </c>
      <c r="H34" s="9"/>
      <c r="I34" s="9"/>
      <c r="J34" s="9"/>
      <c r="K34" s="9"/>
      <c r="L34" s="9"/>
      <c r="M34" s="9"/>
      <c r="N34" s="9"/>
      <c r="O34" s="9"/>
      <c r="P34" s="9"/>
      <c r="Q34" s="9"/>
      <c r="R34" s="9"/>
      <c r="S34" s="9"/>
      <c r="T34" s="9"/>
      <c r="U34" s="9"/>
      <c r="V34" s="9"/>
      <c r="W34" s="9"/>
      <c r="X34" s="9"/>
      <c r="Y34" s="9"/>
      <c r="Z34" s="9"/>
      <c r="AA34" s="9"/>
      <c r="AB34" s="9"/>
      <c r="AC34" s="9"/>
      <c r="AD34" s="9"/>
    </row>
    <row r="35" spans="1:30" ht="14.25" customHeight="1" x14ac:dyDescent="0.3">
      <c r="A35" s="1"/>
      <c r="B35" s="1"/>
      <c r="C35" s="1"/>
      <c r="D35" s="1"/>
      <c r="E35" s="1"/>
      <c r="F35" s="1"/>
      <c r="G35" s="1"/>
      <c r="H35" s="9"/>
      <c r="I35" s="9"/>
      <c r="J35" s="9"/>
      <c r="K35" s="9"/>
      <c r="L35" s="9"/>
      <c r="M35" s="9"/>
      <c r="N35" s="9"/>
      <c r="O35" s="9"/>
      <c r="P35" s="9"/>
      <c r="Q35" s="9"/>
      <c r="R35" s="9"/>
      <c r="S35" s="9"/>
      <c r="T35" s="9"/>
      <c r="U35" s="9"/>
      <c r="V35" s="9"/>
      <c r="W35" s="9"/>
      <c r="X35" s="9"/>
      <c r="Y35" s="9"/>
      <c r="Z35" s="9"/>
      <c r="AA35" s="9"/>
      <c r="AB35" s="9"/>
      <c r="AC35" s="9"/>
      <c r="AD35" s="9"/>
    </row>
    <row r="36" spans="1:30" ht="14.25" customHeight="1" x14ac:dyDescent="0.3">
      <c r="A36" s="1"/>
      <c r="B36" s="3" t="s">
        <v>232</v>
      </c>
      <c r="C36" s="34"/>
      <c r="D36" s="34"/>
      <c r="E36" s="34"/>
      <c r="F36" s="34"/>
      <c r="G36" s="34"/>
      <c r="H36" s="9"/>
      <c r="I36" s="9"/>
      <c r="J36" s="9"/>
      <c r="K36" s="9"/>
      <c r="L36" s="9"/>
      <c r="M36" s="9"/>
      <c r="N36" s="9"/>
      <c r="O36" s="9"/>
      <c r="P36" s="9"/>
      <c r="Q36" s="9"/>
      <c r="R36" s="9"/>
      <c r="S36" s="9"/>
      <c r="T36" s="9"/>
      <c r="U36" s="9"/>
      <c r="V36" s="9"/>
      <c r="W36" s="9"/>
      <c r="X36" s="9"/>
      <c r="Y36" s="9"/>
      <c r="Z36" s="9"/>
      <c r="AA36" s="9"/>
      <c r="AB36" s="9"/>
      <c r="AC36" s="9"/>
      <c r="AD36" s="9"/>
    </row>
    <row r="37" spans="1:30" ht="14.25" customHeight="1" x14ac:dyDescent="0.3">
      <c r="A37" s="1"/>
      <c r="B37" s="35" t="s">
        <v>233</v>
      </c>
      <c r="C37" s="27">
        <f>C18*0+Credit_Metrics!C18</f>
        <v>200</v>
      </c>
      <c r="D37" s="27">
        <f>D18*0+Credit_Metrics!D18</f>
        <v>190</v>
      </c>
      <c r="E37" s="27">
        <f>E18*0+Credit_Metrics!E18</f>
        <v>180.5</v>
      </c>
      <c r="F37" s="27">
        <f>F18*0+Credit_Metrics!F18</f>
        <v>171.47499999999999</v>
      </c>
      <c r="G37" s="27">
        <f>G18*0+Credit_Metrics!G18</f>
        <v>162.90125</v>
      </c>
      <c r="H37" s="9"/>
      <c r="I37" s="9"/>
      <c r="J37" s="9"/>
      <c r="K37" s="9"/>
      <c r="L37" s="9"/>
      <c r="M37" s="9"/>
      <c r="N37" s="9"/>
      <c r="O37" s="9"/>
      <c r="P37" s="9"/>
      <c r="Q37" s="9"/>
      <c r="R37" s="9"/>
      <c r="S37" s="9"/>
      <c r="T37" s="9"/>
      <c r="U37" s="9"/>
      <c r="V37" s="9"/>
      <c r="W37" s="9"/>
      <c r="X37" s="9"/>
      <c r="Y37" s="9"/>
      <c r="Z37" s="9"/>
      <c r="AA37" s="9"/>
      <c r="AB37" s="9"/>
      <c r="AC37" s="9"/>
      <c r="AD37" s="9"/>
    </row>
    <row r="38" spans="1:30" ht="14.25" customHeight="1" x14ac:dyDescent="0.3">
      <c r="A38" s="1"/>
      <c r="B38" s="35" t="s">
        <v>234</v>
      </c>
      <c r="C38" s="27">
        <f>Credit_Metrics!C12</f>
        <v>-1.925</v>
      </c>
      <c r="D38" s="27">
        <f>Credit_Metrics!D12</f>
        <v>0</v>
      </c>
      <c r="E38" s="27">
        <f>Credit_Metrics!E12</f>
        <v>0.1925</v>
      </c>
      <c r="F38" s="27">
        <f>Credit_Metrics!F12</f>
        <v>0.38500000000000001</v>
      </c>
      <c r="G38" s="27">
        <f>Credit_Metrics!G12</f>
        <v>0.57750000000000001</v>
      </c>
      <c r="H38" s="9"/>
      <c r="I38" s="9"/>
      <c r="J38" s="9"/>
      <c r="K38" s="9"/>
      <c r="L38" s="9"/>
      <c r="M38" s="9"/>
      <c r="N38" s="9"/>
      <c r="O38" s="9"/>
      <c r="P38" s="9"/>
      <c r="Q38" s="9"/>
      <c r="R38" s="9"/>
      <c r="S38" s="9"/>
      <c r="T38" s="9"/>
      <c r="U38" s="9"/>
      <c r="V38" s="9"/>
      <c r="W38" s="9"/>
      <c r="X38" s="9"/>
      <c r="Y38" s="9"/>
      <c r="Z38" s="9"/>
      <c r="AA38" s="9"/>
      <c r="AB38" s="9"/>
      <c r="AC38" s="9"/>
      <c r="AD38" s="9"/>
    </row>
    <row r="39" spans="1:30" ht="14.25" customHeight="1" x14ac:dyDescent="0.3">
      <c r="A39" s="1"/>
      <c r="B39" s="36" t="s">
        <v>235</v>
      </c>
      <c r="C39" s="37">
        <f>C37+C38</f>
        <v>198.07499999999999</v>
      </c>
      <c r="D39" s="37">
        <f>D37+D38</f>
        <v>190</v>
      </c>
      <c r="E39" s="37">
        <f>E37+E38</f>
        <v>180.6925</v>
      </c>
      <c r="F39" s="37">
        <f>F37+F38</f>
        <v>171.85999999999999</v>
      </c>
      <c r="G39" s="37">
        <f>G37+G38</f>
        <v>163.47874999999999</v>
      </c>
      <c r="H39" s="9"/>
      <c r="I39" s="9"/>
      <c r="J39" s="9"/>
      <c r="K39" s="9"/>
      <c r="L39" s="9"/>
      <c r="M39" s="9"/>
      <c r="N39" s="9"/>
      <c r="O39" s="9"/>
      <c r="P39" s="9"/>
      <c r="Q39" s="9"/>
      <c r="R39" s="9"/>
      <c r="S39" s="9"/>
      <c r="T39" s="9"/>
      <c r="U39" s="9"/>
      <c r="V39" s="9"/>
      <c r="W39" s="9"/>
      <c r="X39" s="9"/>
      <c r="Y39" s="9"/>
      <c r="Z39" s="9"/>
      <c r="AA39" s="9"/>
      <c r="AB39" s="9"/>
      <c r="AC39" s="9"/>
      <c r="AD39" s="9"/>
    </row>
    <row r="40" spans="1:30" ht="14.25" customHeight="1" x14ac:dyDescent="0.3">
      <c r="A40" s="1"/>
      <c r="B40" s="35" t="s">
        <v>236</v>
      </c>
      <c r="C40" s="27">
        <f>IF(Assumptions!C39,Assumptions!C36/Assumptions!C40,Assumptions!C36)</f>
        <v>65</v>
      </c>
      <c r="D40" s="27">
        <f>IF(Assumptions!C39,IF(2&lt;=Assumptions!C40,Assumptions!C36/Assumptions!C40,0),0)</f>
        <v>0</v>
      </c>
      <c r="E40" s="27">
        <f>IF(Assumptions!C39,IF(3&lt;=Assumptions!C40,Assumptions!C36/Assumptions!C40,0),0)</f>
        <v>0</v>
      </c>
      <c r="F40" s="27">
        <f>IF(Assumptions!C39,IF(4&lt;=Assumptions!C40,Assumptions!C36/Assumptions!C40,0),0)</f>
        <v>0</v>
      </c>
      <c r="G40" s="27">
        <f>IF(Assumptions!C39,IF(5&lt;=Assumptions!C40,Assumptions!C36/Assumptions!C40,0),0)</f>
        <v>0</v>
      </c>
      <c r="H40" s="9"/>
      <c r="I40" s="9"/>
      <c r="J40" s="9"/>
      <c r="K40" s="9"/>
      <c r="L40" s="9"/>
      <c r="M40" s="9"/>
      <c r="N40" s="9"/>
      <c r="O40" s="9"/>
      <c r="P40" s="9"/>
      <c r="Q40" s="9"/>
      <c r="R40" s="9"/>
      <c r="S40" s="9"/>
      <c r="T40" s="9"/>
      <c r="U40" s="9"/>
      <c r="V40" s="9"/>
      <c r="W40" s="9"/>
      <c r="X40" s="9"/>
      <c r="Y40" s="9"/>
      <c r="Z40" s="9"/>
      <c r="AA40" s="9"/>
      <c r="AB40" s="9"/>
      <c r="AC40" s="9"/>
      <c r="AD40" s="9"/>
    </row>
    <row r="41" spans="1:30" ht="14.25" customHeight="1" x14ac:dyDescent="0.3">
      <c r="A41" s="1"/>
      <c r="B41" s="35" t="s">
        <v>237</v>
      </c>
      <c r="C41" s="27">
        <f>IF(1&lt;=Assumptions!C44,Assumptions!C37/Assumptions!C44,0)</f>
        <v>7.1428571428571432</v>
      </c>
      <c r="D41" s="27">
        <f>IF(2&lt;=Assumptions!C44,Assumptions!C37/Assumptions!C44,0)</f>
        <v>7.1428571428571432</v>
      </c>
      <c r="E41" s="27">
        <f>IF(3&lt;=Assumptions!C44,Assumptions!C37/Assumptions!C44,0)</f>
        <v>7.1428571428571432</v>
      </c>
      <c r="F41" s="27">
        <f>IF(4&lt;=Assumptions!C44,Assumptions!C37/Assumptions!C44,0)</f>
        <v>7.1428571428571432</v>
      </c>
      <c r="G41" s="27">
        <f>IF(5&lt;=Assumptions!C44,Assumptions!C37/Assumptions!C44,0)</f>
        <v>7.1428571428571432</v>
      </c>
      <c r="H41" s="9"/>
      <c r="I41" s="9"/>
      <c r="J41" s="9"/>
      <c r="K41" s="9"/>
      <c r="L41" s="9"/>
      <c r="M41" s="9"/>
      <c r="N41" s="9"/>
      <c r="O41" s="9"/>
      <c r="P41" s="9"/>
      <c r="Q41" s="9"/>
      <c r="R41" s="9"/>
      <c r="S41" s="9"/>
      <c r="T41" s="9"/>
      <c r="U41" s="9"/>
      <c r="V41" s="9"/>
      <c r="W41" s="9"/>
      <c r="X41" s="9"/>
      <c r="Y41" s="9"/>
      <c r="Z41" s="9"/>
      <c r="AA41" s="9"/>
      <c r="AB41" s="9"/>
      <c r="AC41" s="9"/>
      <c r="AD41" s="9"/>
    </row>
    <row r="42" spans="1:30" ht="14.25" customHeight="1" x14ac:dyDescent="0.3">
      <c r="A42" s="1"/>
      <c r="B42" s="35" t="s">
        <v>238</v>
      </c>
      <c r="C42" s="27">
        <f>MAX(0,Assumptions!C38*Assumptions!C46*MAX(0,1-(0)/Assumptions!C47))</f>
        <v>45</v>
      </c>
      <c r="D42" s="27">
        <f>MAX(0,Assumptions!C38*Assumptions!C46*MAX(0,1-(1)/Assumptions!C47))</f>
        <v>22.5</v>
      </c>
      <c r="E42" s="27">
        <f>MAX(0,Assumptions!C38*Assumptions!C46*MAX(0,1-(2)/Assumptions!C47))</f>
        <v>0</v>
      </c>
      <c r="F42" s="27">
        <f>MAX(0,Assumptions!C38*Assumptions!C46*MAX(0,1-(3)/Assumptions!C47))</f>
        <v>0</v>
      </c>
      <c r="G42" s="27">
        <f>MAX(0,Assumptions!C38*Assumptions!C46*MAX(0,1-(4)/Assumptions!C47))</f>
        <v>0</v>
      </c>
      <c r="H42" s="9"/>
      <c r="I42" s="9"/>
      <c r="J42" s="9"/>
      <c r="K42" s="9"/>
      <c r="L42" s="9"/>
      <c r="M42" s="9"/>
      <c r="N42" s="9"/>
      <c r="O42" s="9"/>
      <c r="P42" s="9"/>
      <c r="Q42" s="9"/>
      <c r="R42" s="9"/>
      <c r="S42" s="9"/>
      <c r="T42" s="9"/>
      <c r="U42" s="9"/>
      <c r="V42" s="9"/>
      <c r="W42" s="9"/>
      <c r="X42" s="9"/>
      <c r="Y42" s="9"/>
      <c r="Z42" s="9"/>
      <c r="AA42" s="9"/>
      <c r="AB42" s="9"/>
      <c r="AC42" s="9"/>
      <c r="AD42" s="9"/>
    </row>
    <row r="43" spans="1:30" ht="14.25" customHeight="1" x14ac:dyDescent="0.3">
      <c r="A43" s="1"/>
      <c r="B43" s="36" t="s">
        <v>239</v>
      </c>
      <c r="C43" s="37">
        <f>C40+C41+C42</f>
        <v>117.14285714285714</v>
      </c>
      <c r="D43" s="37">
        <f>D40+D41+D42</f>
        <v>29.642857142857142</v>
      </c>
      <c r="E43" s="37">
        <f>E40+E41+E42</f>
        <v>7.1428571428571432</v>
      </c>
      <c r="F43" s="37">
        <f>F40+F41+F42</f>
        <v>7.1428571428571432</v>
      </c>
      <c r="G43" s="37">
        <f>G40+G41+G42</f>
        <v>7.1428571428571432</v>
      </c>
      <c r="H43" s="9"/>
      <c r="I43" s="9"/>
      <c r="J43" s="9"/>
      <c r="K43" s="9"/>
      <c r="L43" s="9"/>
      <c r="M43" s="9"/>
      <c r="N43" s="9"/>
      <c r="O43" s="9"/>
      <c r="P43" s="9"/>
      <c r="Q43" s="9"/>
      <c r="R43" s="9"/>
      <c r="S43" s="9"/>
      <c r="T43" s="9"/>
      <c r="U43" s="9"/>
      <c r="V43" s="9"/>
      <c r="W43" s="9"/>
      <c r="X43" s="9"/>
      <c r="Y43" s="9"/>
      <c r="Z43" s="9"/>
      <c r="AA43" s="9"/>
      <c r="AB43" s="9"/>
      <c r="AC43" s="9"/>
      <c r="AD43" s="9"/>
    </row>
    <row r="44" spans="1:30" ht="14.25" customHeight="1" x14ac:dyDescent="0.3">
      <c r="A44" s="1"/>
      <c r="B44" s="1"/>
      <c r="C44" s="1"/>
      <c r="D44" s="1"/>
      <c r="E44" s="1"/>
      <c r="F44" s="1"/>
      <c r="G44" s="1"/>
      <c r="H44" s="9"/>
      <c r="I44" s="9"/>
      <c r="J44" s="9"/>
      <c r="K44" s="9"/>
      <c r="L44" s="9"/>
      <c r="M44" s="9"/>
      <c r="N44" s="9"/>
      <c r="O44" s="9"/>
      <c r="P44" s="9"/>
      <c r="Q44" s="9"/>
      <c r="R44" s="9"/>
      <c r="S44" s="9"/>
      <c r="T44" s="9"/>
      <c r="U44" s="9"/>
      <c r="V44" s="9"/>
      <c r="W44" s="9"/>
      <c r="X44" s="9"/>
      <c r="Y44" s="9"/>
      <c r="Z44" s="9"/>
      <c r="AA44" s="9"/>
      <c r="AB44" s="9"/>
      <c r="AC44" s="9"/>
      <c r="AD44" s="9"/>
    </row>
    <row r="45" spans="1:30" ht="14.25" customHeight="1" x14ac:dyDescent="0.3">
      <c r="A45" s="1"/>
      <c r="B45" s="36" t="s">
        <v>240</v>
      </c>
      <c r="C45" s="37">
        <f>C34-C39-C43</f>
        <v>9826.4721428571411</v>
      </c>
      <c r="D45" s="37">
        <f>D34-D39-D43</f>
        <v>10481.492342857144</v>
      </c>
      <c r="E45" s="37">
        <f>E34-E39-E43</f>
        <v>11173.486158857146</v>
      </c>
      <c r="F45" s="37">
        <f>F34-F39-F43</f>
        <v>11794.544655137141</v>
      </c>
      <c r="G45" s="37">
        <f>G34-G39-G43</f>
        <v>12396.055994869545</v>
      </c>
      <c r="H45" s="9"/>
      <c r="I45" s="9"/>
      <c r="J45" s="9"/>
      <c r="K45" s="9"/>
      <c r="L45" s="9"/>
      <c r="M45" s="9"/>
      <c r="N45" s="9"/>
      <c r="O45" s="9"/>
      <c r="P45" s="9"/>
      <c r="Q45" s="9"/>
      <c r="R45" s="9"/>
      <c r="S45" s="9"/>
      <c r="T45" s="9"/>
      <c r="U45" s="9"/>
      <c r="V45" s="9"/>
      <c r="W45" s="9"/>
      <c r="X45" s="9"/>
      <c r="Y45" s="9"/>
      <c r="Z45" s="9"/>
      <c r="AA45" s="9"/>
      <c r="AB45" s="9"/>
      <c r="AC45" s="9"/>
      <c r="AD45" s="9"/>
    </row>
    <row r="46" spans="1:30" ht="14.25" customHeight="1" x14ac:dyDescent="0.3">
      <c r="A46" s="1"/>
      <c r="B46" s="35" t="s">
        <v>241</v>
      </c>
      <c r="C46" s="27">
        <f>C45*Assumptions!C12</f>
        <v>2456.6180357142853</v>
      </c>
      <c r="D46" s="27">
        <f>D45*Assumptions!C12</f>
        <v>2620.3730857142859</v>
      </c>
      <c r="E46" s="27">
        <f>E45*Assumptions!C12</f>
        <v>2793.3715397142864</v>
      </c>
      <c r="F46" s="27">
        <f>F45*Assumptions!C12</f>
        <v>2948.6361637842851</v>
      </c>
      <c r="G46" s="27">
        <f>G45*Assumptions!C12</f>
        <v>3099.0139987173861</v>
      </c>
      <c r="H46" s="9"/>
      <c r="I46" s="9"/>
      <c r="J46" s="9"/>
      <c r="K46" s="9"/>
      <c r="L46" s="9"/>
      <c r="M46" s="9"/>
      <c r="N46" s="9"/>
      <c r="O46" s="9"/>
      <c r="P46" s="9"/>
      <c r="Q46" s="9"/>
      <c r="R46" s="9"/>
      <c r="S46" s="9"/>
      <c r="T46" s="9"/>
      <c r="U46" s="9"/>
      <c r="V46" s="9"/>
      <c r="W46" s="9"/>
      <c r="X46" s="9"/>
      <c r="Y46" s="9"/>
      <c r="Z46" s="9"/>
      <c r="AA46" s="9"/>
      <c r="AB46" s="9"/>
      <c r="AC46" s="9"/>
      <c r="AD46" s="9"/>
    </row>
    <row r="47" spans="1:30" ht="14.25" customHeight="1" x14ac:dyDescent="0.3">
      <c r="A47" s="1"/>
      <c r="B47" s="1"/>
      <c r="C47" s="1"/>
      <c r="D47" s="1"/>
      <c r="E47" s="1"/>
      <c r="F47" s="1"/>
      <c r="G47" s="1"/>
      <c r="H47" s="9"/>
      <c r="I47" s="9"/>
      <c r="J47" s="9"/>
      <c r="K47" s="9"/>
      <c r="L47" s="9"/>
      <c r="M47" s="9"/>
      <c r="N47" s="9"/>
      <c r="O47" s="9"/>
      <c r="P47" s="9"/>
      <c r="Q47" s="9"/>
      <c r="R47" s="9"/>
      <c r="S47" s="9"/>
      <c r="T47" s="9"/>
      <c r="U47" s="9"/>
      <c r="V47" s="9"/>
      <c r="W47" s="9"/>
      <c r="X47" s="9"/>
      <c r="Y47" s="9"/>
      <c r="Z47" s="9"/>
      <c r="AA47" s="9"/>
      <c r="AB47" s="9"/>
      <c r="AC47" s="9"/>
      <c r="AD47" s="9"/>
    </row>
    <row r="48" spans="1:30" ht="14.25" customHeight="1" x14ac:dyDescent="0.3">
      <c r="A48" s="1"/>
      <c r="B48" s="29" t="s">
        <v>242</v>
      </c>
      <c r="C48" s="30">
        <f>C45-C46</f>
        <v>7369.8541071428554</v>
      </c>
      <c r="D48" s="30">
        <f>D45-D46</f>
        <v>7861.1192571428583</v>
      </c>
      <c r="E48" s="30">
        <f>E45-E46</f>
        <v>8380.1146191428597</v>
      </c>
      <c r="F48" s="30">
        <f>F45-F46</f>
        <v>8845.908491352855</v>
      </c>
      <c r="G48" s="30">
        <f>G45-G46</f>
        <v>9297.0419961521584</v>
      </c>
      <c r="H48" s="9"/>
      <c r="I48" s="9"/>
      <c r="J48" s="9"/>
      <c r="K48" s="9"/>
      <c r="L48" s="9"/>
      <c r="M48" s="9"/>
      <c r="N48" s="9"/>
      <c r="O48" s="9"/>
      <c r="P48" s="9"/>
      <c r="Q48" s="9"/>
      <c r="R48" s="9"/>
      <c r="S48" s="9"/>
      <c r="T48" s="9"/>
      <c r="U48" s="9"/>
      <c r="V48" s="9"/>
      <c r="W48" s="9"/>
      <c r="X48" s="9"/>
      <c r="Y48" s="9"/>
      <c r="Z48" s="9"/>
      <c r="AA48" s="9"/>
      <c r="AB48" s="9"/>
      <c r="AC48" s="9"/>
      <c r="AD48" s="9"/>
    </row>
    <row r="49" spans="1:30" ht="14.25" customHeight="1" x14ac:dyDescent="0.3">
      <c r="A49" s="1"/>
      <c r="B49" s="1"/>
      <c r="C49" s="1"/>
      <c r="D49" s="1"/>
      <c r="E49" s="1"/>
      <c r="F49" s="1"/>
      <c r="G49" s="1"/>
      <c r="H49" s="9"/>
      <c r="I49" s="9"/>
      <c r="J49" s="9"/>
      <c r="K49" s="9"/>
      <c r="L49" s="9"/>
      <c r="M49" s="9"/>
      <c r="N49" s="9"/>
      <c r="O49" s="9"/>
      <c r="P49" s="9"/>
      <c r="Q49" s="9"/>
      <c r="R49" s="9"/>
      <c r="S49" s="9"/>
      <c r="T49" s="9"/>
      <c r="U49" s="9"/>
      <c r="V49" s="9"/>
      <c r="W49" s="9"/>
      <c r="X49" s="9"/>
      <c r="Y49" s="9"/>
      <c r="Z49" s="9"/>
      <c r="AA49" s="9"/>
      <c r="AB49" s="9"/>
      <c r="AC49" s="9"/>
      <c r="AD49" s="9"/>
    </row>
    <row r="50" spans="1:30" ht="14.25" customHeight="1" x14ac:dyDescent="0.3">
      <c r="A50" s="1"/>
      <c r="B50" t="s">
        <v>47</v>
      </c>
      <c r="C50" s="15">
        <f>C48/Assumptions!C92</f>
        <v>22.198355744406189</v>
      </c>
      <c r="D50" s="15">
        <f>D48/Assumptions!C92</f>
        <v>23.678070051635114</v>
      </c>
      <c r="E50" s="15">
        <f>E48/Assumptions!C92</f>
        <v>25.241309093803796</v>
      </c>
      <c r="F50" s="15">
        <f>F48/Assumptions!C92</f>
        <v>26.644302684797754</v>
      </c>
      <c r="G50" s="15">
        <f>G48/Assumptions!C92</f>
        <v>28.003138542626981</v>
      </c>
      <c r="H50" s="9"/>
      <c r="I50" s="9"/>
      <c r="J50" s="9"/>
      <c r="K50" s="9"/>
      <c r="L50" s="9"/>
      <c r="M50" s="9"/>
      <c r="N50" s="9"/>
      <c r="O50" s="9"/>
      <c r="P50" s="9"/>
      <c r="Q50" s="9"/>
      <c r="R50" s="9"/>
      <c r="S50" s="9"/>
      <c r="T50" s="9"/>
      <c r="U50" s="9"/>
      <c r="V50" s="9"/>
      <c r="W50" s="9"/>
      <c r="X50" s="9"/>
      <c r="Y50" s="9"/>
      <c r="Z50" s="9"/>
      <c r="AA50" s="9"/>
      <c r="AB50" s="9"/>
      <c r="AC50" s="9"/>
      <c r="AD50" s="9"/>
    </row>
  </sheetData>
  <pageMargins left="0.75" right="0.75" top="1" bottom="1"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AD29"/>
  <sheetViews>
    <sheetView showGridLines="0" tabSelected="1" zoomScaleNormal="100" workbookViewId="0">
      <selection activeCell="J16" sqref="J16"/>
    </sheetView>
  </sheetViews>
  <sheetFormatPr defaultColWidth="8.59765625" defaultRowHeight="13.8" x14ac:dyDescent="0.25"/>
  <cols>
    <col min="1" max="1" width="1.8984375" customWidth="1"/>
    <col min="2" max="2" width="32" customWidth="1"/>
    <col min="3" max="8" width="16" customWidth="1"/>
  </cols>
  <sheetData>
    <row r="1" spans="1:30" ht="14.25" customHeight="1" x14ac:dyDescent="0.3">
      <c r="A1" s="86"/>
      <c r="B1" s="86"/>
      <c r="C1" s="86"/>
      <c r="D1" s="86"/>
      <c r="E1" s="86"/>
      <c r="F1" s="86"/>
      <c r="G1" s="86"/>
      <c r="H1" s="86"/>
      <c r="I1" s="87"/>
      <c r="J1" s="87"/>
      <c r="K1" s="87"/>
      <c r="L1" s="87"/>
      <c r="M1" s="87"/>
      <c r="N1" s="87"/>
      <c r="O1" s="87"/>
      <c r="P1" s="85"/>
      <c r="Q1" s="85"/>
      <c r="R1" s="85"/>
      <c r="S1" s="85"/>
      <c r="T1" s="85"/>
      <c r="U1" s="85"/>
      <c r="V1" s="85"/>
      <c r="W1" s="85"/>
      <c r="X1" s="85"/>
      <c r="Y1" s="85"/>
      <c r="Z1" s="85"/>
      <c r="AA1" s="85"/>
      <c r="AB1" s="85"/>
      <c r="AC1" s="85"/>
      <c r="AD1" s="85"/>
    </row>
    <row r="2" spans="1:30" ht="21.75" customHeight="1" x14ac:dyDescent="0.4">
      <c r="A2" s="86"/>
      <c r="B2" s="88" t="s">
        <v>243</v>
      </c>
      <c r="C2" s="86"/>
      <c r="D2" s="86"/>
      <c r="E2" s="86"/>
      <c r="F2" s="86"/>
      <c r="G2" s="86"/>
      <c r="H2" s="86"/>
      <c r="I2" s="87"/>
      <c r="J2" s="87"/>
      <c r="K2" s="87"/>
      <c r="L2" s="87"/>
      <c r="M2" s="87"/>
      <c r="N2" s="87"/>
      <c r="O2" s="87"/>
      <c r="P2" s="85"/>
      <c r="Q2" s="85"/>
      <c r="R2" s="85"/>
      <c r="S2" s="85"/>
      <c r="T2" s="85"/>
      <c r="U2" s="85"/>
      <c r="V2" s="85"/>
      <c r="W2" s="85"/>
      <c r="X2" s="85"/>
      <c r="Y2" s="85"/>
      <c r="Z2" s="85"/>
      <c r="AA2" s="85"/>
      <c r="AB2" s="85"/>
      <c r="AC2" s="85"/>
      <c r="AD2" s="85"/>
    </row>
    <row r="3" spans="1:30" ht="14.25" customHeight="1" x14ac:dyDescent="0.3">
      <c r="A3" s="86"/>
      <c r="B3" s="90" t="s">
        <v>244</v>
      </c>
      <c r="C3" s="86"/>
      <c r="D3" s="86"/>
      <c r="E3" s="86"/>
      <c r="F3" s="86"/>
      <c r="G3" s="86"/>
      <c r="H3" s="86"/>
      <c r="I3" s="87"/>
      <c r="J3" s="87"/>
      <c r="K3" s="87"/>
      <c r="L3" s="87"/>
      <c r="M3" s="87"/>
      <c r="N3" s="87"/>
      <c r="O3" s="87"/>
      <c r="P3" s="85"/>
      <c r="Q3" s="85"/>
      <c r="R3" s="85"/>
      <c r="S3" s="85"/>
      <c r="T3" s="85"/>
      <c r="U3" s="85"/>
      <c r="V3" s="85"/>
      <c r="W3" s="85"/>
      <c r="X3" s="85"/>
      <c r="Y3" s="85"/>
      <c r="Z3" s="85"/>
      <c r="AA3" s="85"/>
      <c r="AB3" s="85"/>
      <c r="AC3" s="85"/>
      <c r="AD3" s="85"/>
    </row>
    <row r="4" spans="1:30" ht="14.25" customHeight="1" x14ac:dyDescent="0.3">
      <c r="A4" s="1"/>
      <c r="B4" s="1"/>
      <c r="C4" s="1"/>
      <c r="D4" s="1"/>
      <c r="E4" s="1"/>
      <c r="F4" s="1"/>
      <c r="G4" s="1"/>
      <c r="H4" s="1"/>
      <c r="I4" s="9"/>
      <c r="J4" s="9"/>
      <c r="K4" s="9"/>
      <c r="L4" s="9"/>
      <c r="M4" s="9"/>
      <c r="N4" s="9"/>
      <c r="O4" s="9"/>
      <c r="P4" s="9"/>
      <c r="Q4" s="9"/>
      <c r="R4" s="9"/>
      <c r="S4" s="9"/>
      <c r="T4" s="9"/>
      <c r="U4" s="9"/>
      <c r="V4" s="9"/>
      <c r="W4" s="9"/>
      <c r="X4" s="9"/>
      <c r="Y4" s="9"/>
      <c r="Z4" s="9"/>
      <c r="AA4" s="9"/>
      <c r="AB4" s="9"/>
      <c r="AC4" s="9"/>
      <c r="AD4" s="9"/>
    </row>
    <row r="5" spans="1:30" ht="14.25" customHeight="1" x14ac:dyDescent="0.3">
      <c r="A5" s="1"/>
      <c r="B5" s="1"/>
      <c r="C5" s="1"/>
      <c r="D5" s="1"/>
      <c r="E5" s="1"/>
      <c r="F5" s="1"/>
      <c r="G5" s="1"/>
      <c r="H5" s="1"/>
      <c r="I5" s="9"/>
      <c r="J5" s="9"/>
      <c r="K5" s="9"/>
      <c r="L5" s="9"/>
      <c r="M5" s="9"/>
      <c r="N5" s="9"/>
      <c r="O5" s="9"/>
      <c r="P5" s="9"/>
      <c r="Q5" s="9"/>
      <c r="R5" s="9"/>
      <c r="S5" s="9"/>
      <c r="T5" s="9"/>
      <c r="U5" s="9"/>
      <c r="V5" s="9"/>
      <c r="W5" s="9"/>
      <c r="X5" s="9"/>
      <c r="Y5" s="9"/>
      <c r="Z5" s="9"/>
      <c r="AA5" s="9"/>
      <c r="AB5" s="9"/>
      <c r="AC5" s="9"/>
      <c r="AD5" s="9"/>
    </row>
    <row r="6" spans="1:30" ht="14.25" customHeight="1" x14ac:dyDescent="0.3">
      <c r="A6" s="1"/>
      <c r="B6" s="5" t="s">
        <v>67</v>
      </c>
      <c r="C6" s="28" t="s">
        <v>245</v>
      </c>
      <c r="D6" s="28" t="s">
        <v>210</v>
      </c>
      <c r="E6" s="28" t="s">
        <v>211</v>
      </c>
      <c r="F6" s="28" t="s">
        <v>212</v>
      </c>
      <c r="G6" s="28" t="s">
        <v>213</v>
      </c>
      <c r="H6" s="28" t="s">
        <v>214</v>
      </c>
      <c r="I6" s="9"/>
      <c r="J6" s="9"/>
      <c r="K6" s="9"/>
      <c r="L6" s="9"/>
      <c r="M6" s="9"/>
      <c r="N6" s="9"/>
      <c r="O6" s="9"/>
      <c r="P6" s="9"/>
      <c r="Q6" s="9"/>
      <c r="R6" s="9"/>
      <c r="S6" s="9"/>
      <c r="T6" s="9"/>
      <c r="U6" s="9"/>
      <c r="V6" s="9"/>
      <c r="W6" s="9"/>
      <c r="X6" s="9"/>
      <c r="Y6" s="9"/>
      <c r="Z6" s="9"/>
      <c r="AA6" s="9"/>
      <c r="AB6" s="9"/>
      <c r="AC6" s="9"/>
      <c r="AD6" s="9"/>
    </row>
    <row r="7" spans="1:30" ht="14.25" customHeight="1" x14ac:dyDescent="0.3">
      <c r="A7" s="1"/>
      <c r="B7" s="3" t="s">
        <v>246</v>
      </c>
      <c r="C7" s="34"/>
      <c r="D7" s="34"/>
      <c r="E7" s="34"/>
      <c r="F7" s="34"/>
      <c r="G7" s="34"/>
      <c r="H7" s="34"/>
      <c r="I7" s="9"/>
      <c r="J7" s="9"/>
      <c r="K7" s="9"/>
      <c r="L7" s="9"/>
      <c r="M7" s="9"/>
      <c r="N7" s="9"/>
      <c r="O7" s="9"/>
      <c r="P7" s="9"/>
      <c r="Q7" s="9"/>
      <c r="R7" s="9"/>
      <c r="S7" s="9"/>
      <c r="T7" s="9"/>
      <c r="U7" s="9"/>
      <c r="V7" s="9"/>
      <c r="W7" s="9"/>
      <c r="X7" s="9"/>
      <c r="Y7" s="9"/>
      <c r="Z7" s="9"/>
      <c r="AA7" s="9"/>
      <c r="AB7" s="9"/>
      <c r="AC7" s="9"/>
      <c r="AD7" s="9"/>
    </row>
    <row r="8" spans="1:30" ht="14.25" customHeight="1" x14ac:dyDescent="0.3">
      <c r="A8" s="1"/>
      <c r="B8" t="s">
        <v>84</v>
      </c>
      <c r="C8" s="27">
        <f>Assumptions!C16-Assumptions!C38</f>
        <v>0</v>
      </c>
      <c r="D8" s="27">
        <f>Pro_Forma_CF!C32</f>
        <v>6268.2761428571421</v>
      </c>
      <c r="E8" s="27">
        <f>Pro_Forma_CF!D32</f>
        <v>12868.214405714285</v>
      </c>
      <c r="F8" s="27">
        <f>Pro_Forma_CF!E32</f>
        <v>19919.081458171429</v>
      </c>
      <c r="G8" s="27">
        <f>Pro_Forma_CF!F32</f>
        <v>27378.990233396573</v>
      </c>
      <c r="H8" s="27">
        <f>Pro_Forma_CF!G32</f>
        <v>35238.479643711158</v>
      </c>
      <c r="I8" s="9"/>
      <c r="J8" s="9"/>
      <c r="K8" s="9"/>
      <c r="L8" s="9"/>
      <c r="M8" s="9"/>
      <c r="N8" s="9"/>
      <c r="O8" s="9"/>
      <c r="P8" s="9"/>
      <c r="Q8" s="9"/>
      <c r="R8" s="9"/>
      <c r="S8" s="9"/>
      <c r="T8" s="9"/>
      <c r="U8" s="9"/>
      <c r="V8" s="9"/>
      <c r="W8" s="9"/>
      <c r="X8" s="9"/>
      <c r="Y8" s="9"/>
      <c r="Z8" s="9"/>
      <c r="AA8" s="9"/>
      <c r="AB8" s="9"/>
      <c r="AC8" s="9"/>
      <c r="AD8" s="9"/>
    </row>
    <row r="9" spans="1:30" ht="14.25" customHeight="1" x14ac:dyDescent="0.3">
      <c r="A9" s="1"/>
      <c r="B9" t="s">
        <v>247</v>
      </c>
      <c r="C9" s="27">
        <f>Assumptions!C17+Assumptions!C23*Assumptions!C68</f>
        <v>8545</v>
      </c>
      <c r="D9" s="27">
        <f>C9-Pro_Forma_IS!C30+Pro_Forma_CF!C19*-1</f>
        <v>8063.5</v>
      </c>
      <c r="E9" s="27">
        <f>D9-Pro_Forma_IS!D30+Pro_Forma_CF!D19*-1</f>
        <v>7559.35</v>
      </c>
      <c r="F9" s="27">
        <f>E9-Pro_Forma_IS!E30+Pro_Forma_CF!E19*-1</f>
        <v>7031.3425000000007</v>
      </c>
      <c r="G9" s="27">
        <f>F9-Pro_Forma_IS!F30+Pro_Forma_CF!F19*-1</f>
        <v>6478.2096250000004</v>
      </c>
      <c r="H9" s="27">
        <f>G9-Pro_Forma_IS!G30+Pro_Forma_CF!G19*-1</f>
        <v>5897.1201062500004</v>
      </c>
      <c r="I9" s="9"/>
      <c r="J9" s="9"/>
      <c r="K9" s="9"/>
      <c r="L9" s="9"/>
      <c r="M9" s="9"/>
      <c r="N9" s="9"/>
      <c r="O9" s="9"/>
      <c r="P9" s="9"/>
      <c r="Q9" s="9"/>
      <c r="R9" s="9"/>
      <c r="S9" s="9"/>
      <c r="T9" s="9"/>
      <c r="U9" s="9"/>
      <c r="V9" s="9"/>
      <c r="W9" s="9"/>
      <c r="X9" s="9"/>
      <c r="Y9" s="9"/>
      <c r="Z9" s="9"/>
      <c r="AA9" s="9"/>
      <c r="AB9" s="9"/>
      <c r="AC9" s="9"/>
      <c r="AD9" s="9"/>
    </row>
    <row r="10" spans="1:30" ht="14.25" customHeight="1" x14ac:dyDescent="0.3">
      <c r="A10" s="1"/>
      <c r="B10" t="s">
        <v>248</v>
      </c>
      <c r="C10" s="27">
        <f>Assumptions!C18+Transaction_Summary!C22</f>
        <v>1951.875</v>
      </c>
      <c r="D10" s="27">
        <f>C10</f>
        <v>1951.875</v>
      </c>
      <c r="E10" s="27">
        <f>D10</f>
        <v>1951.875</v>
      </c>
      <c r="F10" s="27">
        <f>E10</f>
        <v>1951.875</v>
      </c>
      <c r="G10" s="27">
        <f>F10</f>
        <v>1951.875</v>
      </c>
      <c r="H10" s="27">
        <f>G10</f>
        <v>1951.875</v>
      </c>
      <c r="I10" s="9"/>
      <c r="J10" s="9"/>
      <c r="K10" s="9"/>
      <c r="L10" s="9"/>
      <c r="M10" s="9"/>
      <c r="N10" s="9"/>
      <c r="O10" s="9"/>
      <c r="P10" s="9"/>
      <c r="Q10" s="9"/>
      <c r="R10" s="9"/>
      <c r="S10" s="9"/>
      <c r="T10" s="9"/>
      <c r="U10" s="9"/>
      <c r="V10" s="9"/>
      <c r="W10" s="9"/>
      <c r="X10" s="9"/>
      <c r="Y10" s="9"/>
      <c r="Z10" s="9"/>
      <c r="AA10" s="9"/>
      <c r="AB10" s="9"/>
      <c r="AC10" s="9"/>
      <c r="AD10" s="9"/>
    </row>
    <row r="11" spans="1:30" ht="14.25" customHeight="1" x14ac:dyDescent="0.3">
      <c r="A11" s="1"/>
      <c r="B11" t="s">
        <v>249</v>
      </c>
      <c r="C11" s="27">
        <f>Transaction_Summary!C19</f>
        <v>337.5</v>
      </c>
      <c r="D11" s="27">
        <f>C11-Pro_Forma_IS!C31</f>
        <v>303.75</v>
      </c>
      <c r="E11" s="27">
        <f>D11-Pro_Forma_IS!D31</f>
        <v>270</v>
      </c>
      <c r="F11" s="27">
        <f>E11-Pro_Forma_IS!E31</f>
        <v>236.25</v>
      </c>
      <c r="G11" s="27">
        <f>F11-Pro_Forma_IS!F31</f>
        <v>202.5</v>
      </c>
      <c r="H11" s="27">
        <f>G11-Pro_Forma_IS!G31</f>
        <v>168.75</v>
      </c>
      <c r="I11" s="9"/>
      <c r="J11" s="9"/>
      <c r="K11" s="9"/>
      <c r="L11" s="9"/>
      <c r="M11" s="9"/>
      <c r="N11" s="9"/>
      <c r="O11" s="9"/>
      <c r="P11" s="9"/>
      <c r="Q11" s="9"/>
      <c r="R11" s="9"/>
      <c r="S11" s="9"/>
      <c r="T11" s="9"/>
      <c r="U11" s="9"/>
      <c r="V11" s="9"/>
      <c r="W11" s="9"/>
      <c r="X11" s="9"/>
      <c r="Y11" s="9"/>
      <c r="Z11" s="9"/>
      <c r="AA11" s="9"/>
      <c r="AB11" s="9"/>
      <c r="AC11" s="9"/>
      <c r="AD11" s="9"/>
    </row>
    <row r="12" spans="1:30" ht="14.25" customHeight="1" x14ac:dyDescent="0.3">
      <c r="A12" s="1"/>
      <c r="B12" s="5" t="s">
        <v>250</v>
      </c>
      <c r="C12" s="38">
        <v>0</v>
      </c>
      <c r="D12" s="38">
        <v>0</v>
      </c>
      <c r="E12" s="38">
        <v>0</v>
      </c>
      <c r="F12" s="38">
        <v>0</v>
      </c>
      <c r="G12" s="38">
        <v>0</v>
      </c>
      <c r="H12" s="38">
        <v>0</v>
      </c>
      <c r="I12" s="9"/>
      <c r="J12" s="9"/>
      <c r="K12" s="9"/>
      <c r="L12" s="9"/>
      <c r="M12" s="9"/>
      <c r="N12" s="9"/>
      <c r="O12" s="9"/>
      <c r="P12" s="9"/>
      <c r="Q12" s="9"/>
      <c r="R12" s="9"/>
      <c r="S12" s="9"/>
      <c r="T12" s="9"/>
      <c r="U12" s="9"/>
      <c r="V12" s="9"/>
      <c r="W12" s="9"/>
      <c r="X12" s="9"/>
      <c r="Y12" s="9"/>
      <c r="Z12" s="9"/>
      <c r="AA12" s="9"/>
      <c r="AB12" s="9"/>
      <c r="AC12" s="9"/>
      <c r="AD12" s="9"/>
    </row>
    <row r="13" spans="1:30" ht="14.25" customHeight="1" x14ac:dyDescent="0.3">
      <c r="A13" s="1"/>
      <c r="B13" t="s">
        <v>251</v>
      </c>
      <c r="C13" s="27">
        <f>Assumptions!C36</f>
        <v>65</v>
      </c>
      <c r="D13" s="27">
        <f>MAX(0,C13-Pro_Forma_IS!C40)</f>
        <v>0</v>
      </c>
      <c r="E13" s="27">
        <f>MAX(0,D13-Pro_Forma_IS!D40)</f>
        <v>0</v>
      </c>
      <c r="F13" s="27">
        <f>MAX(0,E13-Pro_Forma_IS!E40)</f>
        <v>0</v>
      </c>
      <c r="G13" s="27">
        <f>MAX(0,F13-Pro_Forma_IS!F40)</f>
        <v>0</v>
      </c>
      <c r="H13" s="27">
        <f>MAX(0,G13-Pro_Forma_IS!G40)</f>
        <v>0</v>
      </c>
      <c r="I13" s="9"/>
      <c r="J13" s="9"/>
      <c r="K13" s="9"/>
      <c r="L13" s="9"/>
      <c r="M13" s="9"/>
      <c r="N13" s="9"/>
      <c r="O13" s="9"/>
      <c r="P13" s="9"/>
      <c r="Q13" s="9"/>
      <c r="R13" s="9"/>
      <c r="S13" s="9"/>
      <c r="T13" s="9"/>
      <c r="U13" s="9"/>
      <c r="V13" s="9"/>
      <c r="W13" s="9"/>
      <c r="X13" s="9"/>
      <c r="Y13" s="9"/>
      <c r="Z13" s="9"/>
      <c r="AA13" s="9"/>
      <c r="AB13" s="9"/>
      <c r="AC13" s="9"/>
      <c r="AD13" s="9"/>
    </row>
    <row r="14" spans="1:30" ht="14.25" customHeight="1" x14ac:dyDescent="0.3">
      <c r="A14" s="1"/>
      <c r="B14" t="s">
        <v>252</v>
      </c>
      <c r="C14" s="27">
        <f>Assumptions!C37</f>
        <v>50</v>
      </c>
      <c r="D14" s="27">
        <f>MAX(0,C14-Pro_Forma_IS!C41)</f>
        <v>42.857142857142854</v>
      </c>
      <c r="E14" s="27">
        <f>MAX(0,D14-Pro_Forma_IS!D41)</f>
        <v>35.714285714285708</v>
      </c>
      <c r="F14" s="27">
        <f>MAX(0,E14-Pro_Forma_IS!E41)</f>
        <v>28.571428571428566</v>
      </c>
      <c r="G14" s="27">
        <f>MAX(0,F14-Pro_Forma_IS!F41)</f>
        <v>21.428571428571423</v>
      </c>
      <c r="H14" s="27">
        <f>MAX(0,G14-Pro_Forma_IS!G41)</f>
        <v>14.285714285714281</v>
      </c>
      <c r="I14" s="9"/>
      <c r="J14" s="9"/>
      <c r="K14" s="9"/>
      <c r="L14" s="9"/>
      <c r="M14" s="9"/>
      <c r="N14" s="9"/>
      <c r="O14" s="9"/>
      <c r="P14" s="9"/>
      <c r="Q14" s="9"/>
      <c r="R14" s="9"/>
      <c r="S14" s="9"/>
      <c r="T14" s="9"/>
      <c r="U14" s="9"/>
      <c r="V14" s="9"/>
      <c r="W14" s="9"/>
      <c r="X14" s="9"/>
      <c r="Y14" s="9"/>
      <c r="Z14" s="9"/>
      <c r="AA14" s="9"/>
      <c r="AB14" s="9"/>
      <c r="AC14" s="9"/>
      <c r="AD14" s="9"/>
    </row>
    <row r="15" spans="1:30" ht="14.25" customHeight="1" x14ac:dyDescent="0.3">
      <c r="A15" s="1"/>
      <c r="B15" s="1"/>
      <c r="C15" s="1"/>
      <c r="D15" s="1"/>
      <c r="E15" s="1"/>
      <c r="F15" s="1"/>
      <c r="G15" s="1"/>
      <c r="H15" s="1"/>
      <c r="I15" s="9"/>
      <c r="J15" s="9"/>
      <c r="K15" s="9"/>
      <c r="L15" s="9"/>
      <c r="M15" s="9"/>
      <c r="N15" s="9"/>
      <c r="O15" s="9"/>
      <c r="P15" s="9"/>
      <c r="Q15" s="9"/>
      <c r="R15" s="9"/>
      <c r="S15" s="9"/>
      <c r="T15" s="9"/>
      <c r="U15" s="9"/>
      <c r="V15" s="9"/>
      <c r="W15" s="9"/>
      <c r="X15" s="9"/>
      <c r="Y15" s="9"/>
      <c r="Z15" s="9"/>
      <c r="AA15" s="9"/>
      <c r="AB15" s="9"/>
      <c r="AC15" s="9"/>
      <c r="AD15" s="9"/>
    </row>
    <row r="16" spans="1:30" ht="14.25" customHeight="1" x14ac:dyDescent="0.3">
      <c r="A16" s="1"/>
      <c r="B16" s="29" t="s">
        <v>253</v>
      </c>
      <c r="C16" s="30">
        <f t="shared" ref="C16:H16" si="0">SUM(C8:C14)</f>
        <v>10949.375</v>
      </c>
      <c r="D16" s="30">
        <f t="shared" si="0"/>
        <v>16630.258285714284</v>
      </c>
      <c r="E16" s="30">
        <f t="shared" si="0"/>
        <v>22685.153691428572</v>
      </c>
      <c r="F16" s="30">
        <f t="shared" si="0"/>
        <v>29167.120386742856</v>
      </c>
      <c r="G16" s="30">
        <f t="shared" si="0"/>
        <v>36033.003429825148</v>
      </c>
      <c r="H16" s="30">
        <f t="shared" si="0"/>
        <v>43270.510464246872</v>
      </c>
      <c r="I16" s="9"/>
      <c r="J16" s="9"/>
      <c r="K16" s="9"/>
      <c r="L16" s="9"/>
      <c r="M16" s="9"/>
      <c r="N16" s="9"/>
      <c r="O16" s="9"/>
      <c r="P16" s="9"/>
      <c r="Q16" s="9"/>
      <c r="R16" s="9"/>
      <c r="S16" s="9"/>
      <c r="T16" s="9"/>
      <c r="U16" s="9"/>
      <c r="V16" s="9"/>
      <c r="W16" s="9"/>
      <c r="X16" s="9"/>
      <c r="Y16" s="9"/>
      <c r="Z16" s="9"/>
      <c r="AA16" s="9"/>
      <c r="AB16" s="9"/>
      <c r="AC16" s="9"/>
      <c r="AD16" s="9"/>
    </row>
    <row r="17" spans="1:30" ht="14.25" customHeight="1" x14ac:dyDescent="0.3">
      <c r="A17" s="1"/>
      <c r="B17" s="3" t="s">
        <v>254</v>
      </c>
      <c r="C17" s="34"/>
      <c r="D17" s="34"/>
      <c r="E17" s="34"/>
      <c r="F17" s="34"/>
      <c r="G17" s="34"/>
      <c r="H17" s="34"/>
      <c r="I17" s="9"/>
      <c r="J17" s="9"/>
      <c r="K17" s="9"/>
      <c r="L17" s="9"/>
      <c r="M17" s="9"/>
      <c r="N17" s="9"/>
      <c r="O17" s="9"/>
      <c r="P17" s="9"/>
      <c r="Q17" s="9"/>
      <c r="R17" s="9"/>
      <c r="S17" s="9"/>
      <c r="T17" s="9"/>
      <c r="U17" s="9"/>
      <c r="V17" s="9"/>
      <c r="W17" s="9"/>
      <c r="X17" s="9"/>
      <c r="Y17" s="9"/>
      <c r="Z17" s="9"/>
      <c r="AA17" s="9"/>
      <c r="AB17" s="9"/>
      <c r="AC17" s="9"/>
      <c r="AD17" s="9"/>
    </row>
    <row r="18" spans="1:30" ht="14.25" customHeight="1" x14ac:dyDescent="0.3">
      <c r="A18" s="1"/>
      <c r="B18" t="s">
        <v>29</v>
      </c>
      <c r="C18" s="27">
        <f>Assumptions!C91</f>
        <v>-35</v>
      </c>
      <c r="D18" s="27">
        <f>Credit_Metrics!C11</f>
        <v>0</v>
      </c>
      <c r="E18" s="27">
        <f>Credit_Metrics!D11</f>
        <v>3.5</v>
      </c>
      <c r="F18" s="27">
        <f>Credit_Metrics!E11</f>
        <v>7</v>
      </c>
      <c r="G18" s="27">
        <f>Credit_Metrics!F11</f>
        <v>10.5</v>
      </c>
      <c r="H18" s="27">
        <f>Credit_Metrics!G11</f>
        <v>14</v>
      </c>
      <c r="I18" s="9"/>
      <c r="J18" s="9"/>
      <c r="K18" s="9"/>
      <c r="L18" s="9"/>
      <c r="M18" s="9"/>
      <c r="N18" s="9"/>
      <c r="O18" s="9"/>
      <c r="P18" s="9"/>
      <c r="Q18" s="9"/>
      <c r="R18" s="9"/>
      <c r="S18" s="9"/>
      <c r="T18" s="9"/>
      <c r="U18" s="9"/>
      <c r="V18" s="9"/>
      <c r="W18" s="9"/>
      <c r="X18" s="9"/>
      <c r="Y18" s="9"/>
      <c r="Z18" s="9"/>
      <c r="AA18" s="9"/>
      <c r="AB18" s="9"/>
      <c r="AC18" s="9"/>
      <c r="AD18" s="9"/>
    </row>
    <row r="19" spans="1:30" ht="14.25" customHeight="1" x14ac:dyDescent="0.3">
      <c r="A19" s="1"/>
      <c r="B19" t="s">
        <v>255</v>
      </c>
      <c r="C19" s="27">
        <f>Assumptions!C15</f>
        <v>5000</v>
      </c>
      <c r="D19" s="27">
        <f>Credit_Metrics!C17</f>
        <v>4750</v>
      </c>
      <c r="E19" s="27">
        <f>Credit_Metrics!D17</f>
        <v>4512.5</v>
      </c>
      <c r="F19" s="27">
        <f>Credit_Metrics!E17</f>
        <v>4286.875</v>
      </c>
      <c r="G19" s="27">
        <f>Credit_Metrics!F17</f>
        <v>4072.53125</v>
      </c>
      <c r="H19" s="27">
        <f>Credit_Metrics!G17</f>
        <v>3868.9046874999999</v>
      </c>
      <c r="I19" s="9"/>
      <c r="J19" s="9"/>
      <c r="K19" s="9"/>
      <c r="L19" s="9"/>
      <c r="M19" s="9"/>
      <c r="N19" s="9"/>
      <c r="O19" s="9"/>
      <c r="P19" s="9"/>
      <c r="Q19" s="9"/>
      <c r="R19" s="9"/>
      <c r="S19" s="9"/>
      <c r="T19" s="9"/>
      <c r="U19" s="9"/>
      <c r="V19" s="9"/>
      <c r="W19" s="9"/>
      <c r="X19" s="9"/>
      <c r="Y19" s="9"/>
      <c r="Z19" s="9"/>
      <c r="AA19" s="9"/>
      <c r="AB19" s="9"/>
      <c r="AC19" s="9"/>
      <c r="AD19" s="9"/>
    </row>
    <row r="20" spans="1:30" ht="14.25" customHeight="1" x14ac:dyDescent="0.3">
      <c r="A20" s="1"/>
      <c r="B20" t="s">
        <v>90</v>
      </c>
      <c r="C20" s="27">
        <f>Assumptions!C19</f>
        <v>2000</v>
      </c>
      <c r="D20" s="27">
        <f>Assumptions!C19</f>
        <v>2000</v>
      </c>
      <c r="E20" s="27">
        <f>Assumptions!C19</f>
        <v>2000</v>
      </c>
      <c r="F20" s="27">
        <f>Assumptions!C19</f>
        <v>2000</v>
      </c>
      <c r="G20" s="27">
        <f>Assumptions!C19</f>
        <v>2000</v>
      </c>
      <c r="H20" s="27">
        <f>Assumptions!C19</f>
        <v>2000</v>
      </c>
      <c r="I20" s="9"/>
      <c r="J20" s="9"/>
      <c r="K20" s="9"/>
      <c r="L20" s="9"/>
      <c r="M20" s="9"/>
      <c r="N20" s="9"/>
      <c r="O20" s="9"/>
      <c r="P20" s="9"/>
      <c r="Q20" s="9"/>
      <c r="R20" s="9"/>
      <c r="S20" s="9"/>
      <c r="T20" s="9"/>
      <c r="U20" s="9"/>
      <c r="V20" s="9"/>
      <c r="W20" s="9"/>
      <c r="X20" s="9"/>
      <c r="Y20" s="9"/>
      <c r="Z20" s="9"/>
      <c r="AA20" s="9"/>
      <c r="AB20" s="9"/>
      <c r="AC20" s="9"/>
      <c r="AD20" s="9"/>
    </row>
    <row r="21" spans="1:30" ht="14.25" customHeight="1" x14ac:dyDescent="0.3">
      <c r="A21" s="1"/>
      <c r="B21" t="s">
        <v>196</v>
      </c>
      <c r="C21" s="27">
        <f>Transaction_Summary!C21</f>
        <v>84.375</v>
      </c>
      <c r="D21" s="27">
        <f>Transaction_Summary!C21</f>
        <v>84.375</v>
      </c>
      <c r="E21" s="27">
        <f>Transaction_Summary!C21</f>
        <v>84.375</v>
      </c>
      <c r="F21" s="27">
        <f>Transaction_Summary!C21</f>
        <v>84.375</v>
      </c>
      <c r="G21" s="27">
        <f>Transaction_Summary!C21</f>
        <v>84.375</v>
      </c>
      <c r="H21" s="27">
        <f>Transaction_Summary!C21</f>
        <v>84.375</v>
      </c>
      <c r="I21" s="9"/>
      <c r="J21" s="9"/>
      <c r="K21" s="9"/>
      <c r="L21" s="9"/>
      <c r="M21" s="9"/>
      <c r="N21" s="9"/>
      <c r="O21" s="9"/>
      <c r="P21" s="9"/>
      <c r="Q21" s="9"/>
      <c r="R21" s="9"/>
      <c r="S21" s="9"/>
      <c r="T21" s="9"/>
      <c r="U21" s="9"/>
      <c r="V21" s="9"/>
      <c r="W21" s="9"/>
      <c r="X21" s="9"/>
      <c r="Y21" s="9"/>
      <c r="Z21" s="9"/>
      <c r="AA21" s="9"/>
      <c r="AB21" s="9"/>
      <c r="AC21" s="9"/>
      <c r="AD21" s="9"/>
    </row>
    <row r="22" spans="1:30" ht="14.25" customHeight="1" x14ac:dyDescent="0.3">
      <c r="A22" s="1"/>
      <c r="B22" s="1"/>
      <c r="C22" s="1"/>
      <c r="D22" s="1"/>
      <c r="E22" s="1"/>
      <c r="F22" s="1"/>
      <c r="G22" s="1"/>
      <c r="H22" s="1"/>
      <c r="I22" s="9"/>
      <c r="J22" s="9"/>
      <c r="K22" s="9"/>
      <c r="L22" s="9"/>
      <c r="M22" s="9"/>
      <c r="N22" s="9"/>
      <c r="O22" s="9"/>
      <c r="P22" s="9"/>
      <c r="Q22" s="9"/>
      <c r="R22" s="9"/>
      <c r="S22" s="9"/>
      <c r="T22" s="9"/>
      <c r="U22" s="9"/>
      <c r="V22" s="9"/>
      <c r="W22" s="9"/>
      <c r="X22" s="9"/>
      <c r="Y22" s="9"/>
      <c r="Z22" s="9"/>
      <c r="AA22" s="9"/>
      <c r="AB22" s="9"/>
      <c r="AC22" s="9"/>
      <c r="AD22" s="9"/>
    </row>
    <row r="23" spans="1:30" ht="14.25" customHeight="1" x14ac:dyDescent="0.3">
      <c r="A23" s="1"/>
      <c r="B23" s="36" t="s">
        <v>256</v>
      </c>
      <c r="C23" s="37">
        <f t="shared" ref="C23:H23" si="1">SUM(C18:C21)</f>
        <v>7049.375</v>
      </c>
      <c r="D23" s="37">
        <f t="shared" si="1"/>
        <v>6834.375</v>
      </c>
      <c r="E23" s="37">
        <f t="shared" si="1"/>
        <v>6600.375</v>
      </c>
      <c r="F23" s="37">
        <f t="shared" si="1"/>
        <v>6378.25</v>
      </c>
      <c r="G23" s="37">
        <f t="shared" si="1"/>
        <v>6167.40625</v>
      </c>
      <c r="H23" s="37">
        <f t="shared" si="1"/>
        <v>5967.2796875000004</v>
      </c>
      <c r="I23" s="9"/>
      <c r="J23" s="9"/>
      <c r="K23" s="9"/>
      <c r="L23" s="9"/>
      <c r="M23" s="9"/>
      <c r="N23" s="9"/>
      <c r="O23" s="9"/>
      <c r="P23" s="9"/>
      <c r="Q23" s="9"/>
      <c r="R23" s="9"/>
      <c r="S23" s="9"/>
      <c r="T23" s="9"/>
      <c r="U23" s="9"/>
      <c r="V23" s="9"/>
      <c r="W23" s="9"/>
      <c r="X23" s="9"/>
      <c r="Y23" s="9"/>
      <c r="Z23" s="9"/>
      <c r="AA23" s="9"/>
      <c r="AB23" s="9"/>
      <c r="AC23" s="9"/>
      <c r="AD23" s="9"/>
    </row>
    <row r="24" spans="1:30" ht="14.25" customHeight="1" x14ac:dyDescent="0.3">
      <c r="A24" s="1"/>
      <c r="B24" s="1"/>
      <c r="C24" s="1"/>
      <c r="D24" s="1"/>
      <c r="E24" s="1"/>
      <c r="F24" s="1"/>
      <c r="G24" s="1"/>
      <c r="H24" s="1"/>
      <c r="I24" s="9"/>
      <c r="J24" s="9"/>
      <c r="K24" s="9"/>
      <c r="L24" s="9"/>
      <c r="M24" s="9"/>
      <c r="N24" s="9"/>
      <c r="O24" s="9"/>
      <c r="P24" s="9"/>
      <c r="Q24" s="9"/>
      <c r="R24" s="9"/>
      <c r="S24" s="9"/>
      <c r="T24" s="9"/>
      <c r="U24" s="9"/>
      <c r="V24" s="9"/>
      <c r="W24" s="9"/>
      <c r="X24" s="9"/>
      <c r="Y24" s="9"/>
      <c r="Z24" s="9"/>
      <c r="AA24" s="9"/>
      <c r="AB24" s="9"/>
      <c r="AC24" s="9"/>
      <c r="AD24" s="9"/>
    </row>
    <row r="25" spans="1:30" ht="14.25" customHeight="1" x14ac:dyDescent="0.3">
      <c r="A25" s="1"/>
      <c r="B25" t="s">
        <v>257</v>
      </c>
      <c r="C25" s="27">
        <f>Assumptions!C20+Assumptions!C89</f>
        <v>3900</v>
      </c>
      <c r="D25" s="27">
        <f>Credit_Metrics!C42</f>
        <v>9795.8832857142843</v>
      </c>
      <c r="E25" s="27">
        <f>Credit_Metrics!D42</f>
        <v>16084.778691428572</v>
      </c>
      <c r="F25" s="27">
        <f>Credit_Metrics!E42</f>
        <v>22788.870386742859</v>
      </c>
      <c r="G25" s="27">
        <f>Credit_Metrics!F42</f>
        <v>29865.597179825141</v>
      </c>
      <c r="H25" s="27">
        <f>Credit_Metrics!G42</f>
        <v>37303.230776746866</v>
      </c>
      <c r="I25" s="9"/>
      <c r="J25" s="9"/>
      <c r="K25" s="9"/>
      <c r="L25" s="9"/>
      <c r="M25" s="9"/>
      <c r="N25" s="9"/>
      <c r="O25" s="9"/>
      <c r="P25" s="9"/>
      <c r="Q25" s="9"/>
      <c r="R25" s="9"/>
      <c r="S25" s="9"/>
      <c r="T25" s="9"/>
      <c r="U25" s="9"/>
      <c r="V25" s="9"/>
      <c r="W25" s="9"/>
      <c r="X25" s="9"/>
      <c r="Y25" s="9"/>
      <c r="Z25" s="9"/>
      <c r="AA25" s="9"/>
      <c r="AB25" s="9"/>
      <c r="AC25" s="9"/>
      <c r="AD25" s="9"/>
    </row>
    <row r="26" spans="1:30" ht="14.25" customHeight="1" x14ac:dyDescent="0.3">
      <c r="A26" s="1"/>
      <c r="B26" s="1"/>
      <c r="C26" s="1"/>
      <c r="D26" s="1"/>
      <c r="E26" s="1"/>
      <c r="F26" s="1"/>
      <c r="G26" s="1"/>
      <c r="H26" s="1"/>
      <c r="I26" s="9"/>
      <c r="J26" s="9"/>
      <c r="K26" s="9"/>
      <c r="L26" s="9"/>
      <c r="M26" s="9"/>
      <c r="N26" s="9"/>
      <c r="O26" s="9"/>
      <c r="P26" s="9"/>
      <c r="Q26" s="9"/>
      <c r="R26" s="9"/>
      <c r="S26" s="9"/>
      <c r="T26" s="9"/>
      <c r="U26" s="9"/>
      <c r="V26" s="9"/>
      <c r="W26" s="9"/>
      <c r="X26" s="9"/>
      <c r="Y26" s="9"/>
      <c r="Z26" s="9"/>
      <c r="AA26" s="9"/>
      <c r="AB26" s="9"/>
      <c r="AC26" s="9"/>
      <c r="AD26" s="9"/>
    </row>
    <row r="27" spans="1:30" ht="14.25" customHeight="1" x14ac:dyDescent="0.3">
      <c r="A27" s="1"/>
      <c r="B27" s="29" t="s">
        <v>258</v>
      </c>
      <c r="C27" s="30">
        <f t="shared" ref="C27:H27" si="2">C23+C25</f>
        <v>10949.375</v>
      </c>
      <c r="D27" s="30">
        <f t="shared" si="2"/>
        <v>16630.258285714284</v>
      </c>
      <c r="E27" s="30">
        <f t="shared" si="2"/>
        <v>22685.153691428572</v>
      </c>
      <c r="F27" s="30">
        <f t="shared" si="2"/>
        <v>29167.120386742859</v>
      </c>
      <c r="G27" s="30">
        <f t="shared" si="2"/>
        <v>36033.003429825141</v>
      </c>
      <c r="H27" s="30">
        <f t="shared" si="2"/>
        <v>43270.510464246865</v>
      </c>
      <c r="I27" s="9"/>
      <c r="J27" s="9"/>
      <c r="K27" s="9"/>
      <c r="L27" s="9"/>
      <c r="M27" s="9"/>
      <c r="N27" s="9"/>
      <c r="O27" s="9"/>
      <c r="P27" s="9"/>
      <c r="Q27" s="9"/>
      <c r="R27" s="9"/>
      <c r="S27" s="9"/>
      <c r="T27" s="9"/>
      <c r="U27" s="9"/>
      <c r="V27" s="9"/>
      <c r="W27" s="9"/>
      <c r="X27" s="9"/>
      <c r="Y27" s="9"/>
      <c r="Z27" s="9"/>
      <c r="AA27" s="9"/>
      <c r="AB27" s="9"/>
      <c r="AC27" s="9"/>
      <c r="AD27" s="9"/>
    </row>
    <row r="28" spans="1:30" ht="14.25" customHeight="1" x14ac:dyDescent="0.3">
      <c r="A28" s="1"/>
      <c r="B28" s="1"/>
      <c r="C28" s="1"/>
      <c r="D28" s="1"/>
      <c r="E28" s="1"/>
      <c r="F28" s="1"/>
      <c r="G28" s="1"/>
      <c r="H28" s="1"/>
      <c r="I28" s="9"/>
      <c r="J28" s="9"/>
      <c r="K28" s="9"/>
      <c r="L28" s="9"/>
      <c r="M28" s="9"/>
      <c r="N28" s="9"/>
      <c r="O28" s="9"/>
      <c r="P28" s="9"/>
      <c r="Q28" s="9"/>
      <c r="R28" s="9"/>
      <c r="S28" s="9"/>
      <c r="T28" s="9"/>
      <c r="U28" s="9"/>
      <c r="V28" s="9"/>
      <c r="W28" s="9"/>
      <c r="X28" s="9"/>
      <c r="Y28" s="9"/>
      <c r="Z28" s="9"/>
      <c r="AA28" s="9"/>
      <c r="AB28" s="9"/>
      <c r="AC28" s="9"/>
      <c r="AD28" s="9"/>
    </row>
    <row r="29" spans="1:30" ht="14.25" customHeight="1" x14ac:dyDescent="0.3">
      <c r="A29" s="1"/>
      <c r="B29" s="57" t="s">
        <v>365</v>
      </c>
      <c r="C29" s="32">
        <f t="shared" ref="C29:H29" si="3">C16-C27</f>
        <v>0</v>
      </c>
      <c r="D29" s="32">
        <f>D16-D27</f>
        <v>0</v>
      </c>
      <c r="E29" s="32">
        <f t="shared" si="3"/>
        <v>0</v>
      </c>
      <c r="F29" s="32">
        <f t="shared" si="3"/>
        <v>0</v>
      </c>
      <c r="G29" s="32">
        <f t="shared" si="3"/>
        <v>0</v>
      </c>
      <c r="H29" s="32">
        <f t="shared" si="3"/>
        <v>0</v>
      </c>
      <c r="I29" s="9"/>
      <c r="J29" s="9"/>
      <c r="K29" s="9"/>
      <c r="L29" s="9"/>
      <c r="M29" s="9"/>
      <c r="N29" s="9"/>
      <c r="O29" s="9"/>
      <c r="P29" s="9"/>
      <c r="Q29" s="9"/>
      <c r="R29" s="9"/>
      <c r="S29" s="9"/>
      <c r="T29" s="9"/>
      <c r="U29" s="9"/>
      <c r="V29" s="9"/>
      <c r="W29" s="9"/>
      <c r="X29" s="9"/>
      <c r="Y29" s="9"/>
      <c r="Z29" s="9"/>
      <c r="AA29" s="9"/>
      <c r="AB29" s="9"/>
      <c r="AC29" s="9"/>
      <c r="AD29" s="9"/>
    </row>
  </sheetData>
  <pageMargins left="0.75" right="0.75" top="1" bottom="1" header="0.511811023622047" footer="0.511811023622047"/>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AD47"/>
  </sheetPr>
  <dimension ref="A1:AD32"/>
  <sheetViews>
    <sheetView showGridLines="0" zoomScaleNormal="100" workbookViewId="0">
      <selection activeCell="Q1" sqref="Q1:AD3"/>
    </sheetView>
  </sheetViews>
  <sheetFormatPr defaultColWidth="8.59765625" defaultRowHeight="13.8" x14ac:dyDescent="0.25"/>
  <cols>
    <col min="1" max="1" width="1.8984375" customWidth="1"/>
    <col min="2" max="2" width="32" customWidth="1"/>
    <col min="3" max="7" width="16" customWidth="1"/>
  </cols>
  <sheetData>
    <row r="1" spans="1:30" ht="14.25" customHeight="1" x14ac:dyDescent="0.3">
      <c r="A1" s="86"/>
      <c r="B1" s="86"/>
      <c r="C1" s="86"/>
      <c r="D1" s="86"/>
      <c r="E1" s="86"/>
      <c r="F1" s="86"/>
      <c r="G1" s="86"/>
      <c r="H1" s="87"/>
      <c r="I1" s="87"/>
      <c r="J1" s="87"/>
      <c r="K1" s="87"/>
      <c r="L1" s="87"/>
      <c r="M1" s="87"/>
      <c r="N1" s="87"/>
      <c r="O1" s="87"/>
      <c r="P1" s="87"/>
      <c r="Q1" s="85"/>
      <c r="R1" s="85"/>
      <c r="S1" s="85"/>
      <c r="T1" s="85"/>
      <c r="U1" s="85"/>
      <c r="V1" s="85"/>
      <c r="W1" s="85"/>
      <c r="X1" s="85"/>
      <c r="Y1" s="85"/>
      <c r="Z1" s="85"/>
      <c r="AA1" s="85"/>
      <c r="AB1" s="85"/>
      <c r="AC1" s="85"/>
      <c r="AD1" s="85"/>
    </row>
    <row r="2" spans="1:30" ht="21.75" customHeight="1" x14ac:dyDescent="0.4">
      <c r="A2" s="86"/>
      <c r="B2" s="88" t="s">
        <v>259</v>
      </c>
      <c r="C2" s="86"/>
      <c r="D2" s="86"/>
      <c r="E2" s="86"/>
      <c r="F2" s="86"/>
      <c r="G2" s="86"/>
      <c r="H2" s="87"/>
      <c r="I2" s="87"/>
      <c r="J2" s="87"/>
      <c r="K2" s="87"/>
      <c r="L2" s="87"/>
      <c r="M2" s="87"/>
      <c r="N2" s="87"/>
      <c r="O2" s="87"/>
      <c r="P2" s="87"/>
      <c r="Q2" s="85"/>
      <c r="R2" s="85"/>
      <c r="S2" s="85"/>
      <c r="T2" s="85"/>
      <c r="U2" s="85"/>
      <c r="V2" s="85"/>
      <c r="W2" s="85"/>
      <c r="X2" s="85"/>
      <c r="Y2" s="85"/>
      <c r="Z2" s="85"/>
      <c r="AA2" s="85"/>
      <c r="AB2" s="85"/>
      <c r="AC2" s="85"/>
      <c r="AD2" s="85"/>
    </row>
    <row r="3" spans="1:30" ht="14.25" customHeight="1" x14ac:dyDescent="0.3">
      <c r="A3" s="86"/>
      <c r="B3" s="90" t="s">
        <v>260</v>
      </c>
      <c r="C3" s="86"/>
      <c r="D3" s="86"/>
      <c r="E3" s="86"/>
      <c r="F3" s="86"/>
      <c r="G3" s="86"/>
      <c r="H3" s="87"/>
      <c r="I3" s="87"/>
      <c r="J3" s="87"/>
      <c r="K3" s="87"/>
      <c r="L3" s="87"/>
      <c r="M3" s="87"/>
      <c r="N3" s="87"/>
      <c r="O3" s="87"/>
      <c r="P3" s="87"/>
      <c r="Q3" s="85"/>
      <c r="R3" s="85"/>
      <c r="S3" s="85"/>
      <c r="T3" s="85"/>
      <c r="U3" s="85"/>
      <c r="V3" s="85"/>
      <c r="W3" s="85"/>
      <c r="X3" s="85"/>
      <c r="Y3" s="85"/>
      <c r="Z3" s="85"/>
      <c r="AA3" s="85"/>
      <c r="AB3" s="85"/>
      <c r="AC3" s="85"/>
      <c r="AD3" s="85"/>
    </row>
    <row r="4" spans="1:30" ht="14.25" customHeight="1" x14ac:dyDescent="0.3">
      <c r="A4" s="1"/>
      <c r="B4" s="1"/>
      <c r="C4" s="1"/>
      <c r="D4" s="1"/>
      <c r="E4" s="1"/>
      <c r="F4" s="1"/>
      <c r="G4" s="1"/>
      <c r="H4" s="9"/>
      <c r="I4" s="9"/>
      <c r="J4" s="9"/>
      <c r="K4" s="9"/>
      <c r="L4" s="9"/>
      <c r="M4" s="9"/>
      <c r="N4" s="9"/>
      <c r="O4" s="9"/>
      <c r="P4" s="9"/>
      <c r="Q4" s="9"/>
      <c r="R4" s="9"/>
      <c r="S4" s="9"/>
      <c r="T4" s="9"/>
      <c r="U4" s="9"/>
      <c r="V4" s="9"/>
      <c r="W4" s="9"/>
      <c r="X4" s="9"/>
      <c r="Y4" s="9"/>
      <c r="Z4" s="9"/>
      <c r="AA4" s="9"/>
      <c r="AB4" s="9"/>
      <c r="AC4" s="9"/>
      <c r="AD4" s="9"/>
    </row>
    <row r="5" spans="1:30" ht="14.25" customHeight="1" x14ac:dyDescent="0.3">
      <c r="A5" s="1"/>
      <c r="B5" s="1"/>
      <c r="C5" s="1"/>
      <c r="D5" s="1"/>
      <c r="E5" s="1"/>
      <c r="F5" s="1"/>
      <c r="G5" s="1"/>
      <c r="H5" s="9"/>
      <c r="I5" s="9"/>
      <c r="J5" s="9"/>
      <c r="K5" s="9"/>
      <c r="L5" s="9"/>
      <c r="M5" s="9"/>
      <c r="N5" s="9"/>
      <c r="O5" s="9"/>
      <c r="P5" s="9"/>
      <c r="Q5" s="9"/>
      <c r="R5" s="9"/>
      <c r="S5" s="9"/>
      <c r="T5" s="9"/>
      <c r="U5" s="9"/>
      <c r="V5" s="9"/>
      <c r="W5" s="9"/>
      <c r="X5" s="9"/>
      <c r="Y5" s="9"/>
      <c r="Z5" s="9"/>
      <c r="AA5" s="9"/>
      <c r="AB5" s="9"/>
      <c r="AC5" s="9"/>
      <c r="AD5" s="9"/>
    </row>
    <row r="6" spans="1:30" ht="14.25" customHeight="1" x14ac:dyDescent="0.3">
      <c r="A6" s="1"/>
      <c r="B6" s="5" t="s">
        <v>67</v>
      </c>
      <c r="C6" s="28" t="s">
        <v>210</v>
      </c>
      <c r="D6" s="28" t="s">
        <v>211</v>
      </c>
      <c r="E6" s="28" t="s">
        <v>212</v>
      </c>
      <c r="F6" s="28" t="s">
        <v>213</v>
      </c>
      <c r="G6" s="28" t="s">
        <v>214</v>
      </c>
      <c r="H6" s="9"/>
      <c r="I6" s="9"/>
      <c r="J6" s="9"/>
      <c r="K6" s="9"/>
      <c r="L6" s="9"/>
      <c r="M6" s="9"/>
      <c r="N6" s="9"/>
      <c r="O6" s="9"/>
      <c r="P6" s="9"/>
      <c r="Q6" s="9"/>
      <c r="R6" s="9"/>
      <c r="S6" s="9"/>
      <c r="T6" s="9"/>
      <c r="U6" s="9"/>
      <c r="V6" s="9"/>
      <c r="W6" s="9"/>
      <c r="X6" s="9"/>
      <c r="Y6" s="9"/>
      <c r="Z6" s="9"/>
      <c r="AA6" s="9"/>
      <c r="AB6" s="9"/>
      <c r="AC6" s="9"/>
      <c r="AD6" s="9"/>
    </row>
    <row r="7" spans="1:30" ht="14.25" customHeight="1" x14ac:dyDescent="0.3">
      <c r="A7" s="1"/>
      <c r="B7" s="3" t="s">
        <v>261</v>
      </c>
      <c r="C7" s="34"/>
      <c r="D7" s="34"/>
      <c r="E7" s="34"/>
      <c r="F7" s="34"/>
      <c r="G7" s="34"/>
      <c r="H7" s="9"/>
      <c r="I7" s="9"/>
      <c r="J7" s="9"/>
      <c r="K7" s="9"/>
      <c r="L7" s="9"/>
      <c r="M7" s="9"/>
      <c r="N7" s="9"/>
      <c r="O7" s="9"/>
      <c r="P7" s="9"/>
      <c r="Q7" s="9"/>
      <c r="R7" s="9"/>
      <c r="S7" s="9"/>
      <c r="T7" s="9"/>
      <c r="U7" s="9"/>
      <c r="V7" s="9"/>
      <c r="W7" s="9"/>
      <c r="X7" s="9"/>
      <c r="Y7" s="9"/>
      <c r="Z7" s="9"/>
      <c r="AA7" s="9"/>
      <c r="AB7" s="9"/>
      <c r="AC7" s="9"/>
      <c r="AD7" s="9"/>
    </row>
    <row r="8" spans="1:30" ht="14.25" customHeight="1" x14ac:dyDescent="0.3">
      <c r="A8" s="1"/>
      <c r="B8" t="s">
        <v>262</v>
      </c>
      <c r="C8" s="27">
        <f>Pro_Forma_IS!C48</f>
        <v>7369.8541071428554</v>
      </c>
      <c r="D8" s="27">
        <f>Pro_Forma_IS!D48</f>
        <v>7861.1192571428583</v>
      </c>
      <c r="E8" s="27">
        <f>Pro_Forma_IS!E48</f>
        <v>8380.1146191428597</v>
      </c>
      <c r="F8" s="27">
        <f>Pro_Forma_IS!F48</f>
        <v>8845.908491352855</v>
      </c>
      <c r="G8" s="27">
        <f>Pro_Forma_IS!G48</f>
        <v>9297.0419961521584</v>
      </c>
      <c r="H8" s="9"/>
      <c r="I8" s="9"/>
      <c r="J8" s="9"/>
      <c r="K8" s="9"/>
      <c r="L8" s="9"/>
      <c r="M8" s="9"/>
      <c r="N8" s="9"/>
      <c r="O8" s="9"/>
      <c r="P8" s="9"/>
      <c r="Q8" s="9"/>
      <c r="R8" s="9"/>
      <c r="S8" s="9"/>
      <c r="T8" s="9"/>
      <c r="U8" s="9"/>
      <c r="V8" s="9"/>
      <c r="W8" s="9"/>
      <c r="X8" s="9"/>
      <c r="Y8" s="9"/>
      <c r="Z8" s="9"/>
      <c r="AA8" s="9"/>
      <c r="AB8" s="9"/>
      <c r="AC8" s="9"/>
      <c r="AD8" s="9"/>
    </row>
    <row r="9" spans="1:30" ht="14.25" customHeight="1" x14ac:dyDescent="0.3">
      <c r="A9" s="1"/>
      <c r="B9" s="35" t="s">
        <v>263</v>
      </c>
      <c r="C9" s="27">
        <f>Pro_Forma_IS!C30</f>
        <v>1936.86</v>
      </c>
      <c r="D9" s="27">
        <f>Pro_Forma_IS!D30</f>
        <v>2033.8488000000002</v>
      </c>
      <c r="E9" s="27">
        <f>Pro_Forma_IS!E30</f>
        <v>2135.6987040000004</v>
      </c>
      <c r="F9" s="27">
        <f>Pro_Forma_IS!F30</f>
        <v>2242.6537003200001</v>
      </c>
      <c r="G9" s="27">
        <f>Pro_Forma_IS!G30</f>
        <v>2354.9700513456</v>
      </c>
      <c r="H9" s="9"/>
      <c r="I9" s="9"/>
      <c r="J9" s="9"/>
      <c r="K9" s="9"/>
      <c r="L9" s="9"/>
      <c r="M9" s="9"/>
      <c r="N9" s="9"/>
      <c r="O9" s="9"/>
      <c r="P9" s="9"/>
      <c r="Q9" s="9"/>
      <c r="R9" s="9"/>
      <c r="S9" s="9"/>
      <c r="T9" s="9"/>
      <c r="U9" s="9"/>
      <c r="V9" s="9"/>
      <c r="W9" s="9"/>
      <c r="X9" s="9"/>
      <c r="Y9" s="9"/>
      <c r="Z9" s="9"/>
      <c r="AA9" s="9"/>
      <c r="AB9" s="9"/>
      <c r="AC9" s="9"/>
      <c r="AD9" s="9"/>
    </row>
    <row r="10" spans="1:30" ht="14.25" customHeight="1" x14ac:dyDescent="0.3">
      <c r="A10" s="1"/>
      <c r="B10" s="35" t="s">
        <v>264</v>
      </c>
      <c r="C10" s="27">
        <f>Pro_Forma_IS!C31</f>
        <v>33.75</v>
      </c>
      <c r="D10" s="27">
        <f>Pro_Forma_IS!D31</f>
        <v>33.75</v>
      </c>
      <c r="E10" s="27">
        <f>Pro_Forma_IS!E31</f>
        <v>33.75</v>
      </c>
      <c r="F10" s="27">
        <f>Pro_Forma_IS!F31</f>
        <v>33.75</v>
      </c>
      <c r="G10" s="27">
        <f>Pro_Forma_IS!G31</f>
        <v>33.75</v>
      </c>
      <c r="H10" s="9"/>
      <c r="I10" s="9"/>
      <c r="J10" s="9"/>
      <c r="K10" s="9"/>
      <c r="L10" s="9"/>
      <c r="M10" s="9"/>
      <c r="N10" s="9"/>
      <c r="O10" s="9"/>
      <c r="P10" s="9"/>
      <c r="Q10" s="9"/>
      <c r="R10" s="9"/>
      <c r="S10" s="9"/>
      <c r="T10" s="9"/>
      <c r="U10" s="9"/>
      <c r="V10" s="9"/>
      <c r="W10" s="9"/>
      <c r="X10" s="9"/>
      <c r="Y10" s="9"/>
      <c r="Z10" s="9"/>
      <c r="AA10" s="9"/>
      <c r="AB10" s="9"/>
      <c r="AC10" s="9"/>
      <c r="AD10" s="9"/>
    </row>
    <row r="11" spans="1:30" ht="14.25" customHeight="1" x14ac:dyDescent="0.3">
      <c r="A11" s="1"/>
      <c r="B11" s="35" t="s">
        <v>265</v>
      </c>
      <c r="C11" s="27">
        <f>Pro_Forma_IS!C32</f>
        <v>0</v>
      </c>
      <c r="D11" s="27">
        <f>Pro_Forma_IS!D32</f>
        <v>0</v>
      </c>
      <c r="E11" s="27">
        <f>Pro_Forma_IS!E32</f>
        <v>0</v>
      </c>
      <c r="F11" s="27">
        <f>Pro_Forma_IS!F32</f>
        <v>0</v>
      </c>
      <c r="G11" s="27">
        <f>Pro_Forma_IS!G32</f>
        <v>0</v>
      </c>
      <c r="H11" s="9"/>
      <c r="I11" s="9"/>
      <c r="J11" s="9"/>
      <c r="K11" s="9"/>
      <c r="L11" s="9"/>
      <c r="M11" s="9"/>
      <c r="N11" s="9"/>
      <c r="O11" s="9"/>
      <c r="P11" s="9"/>
      <c r="Q11" s="9"/>
      <c r="R11" s="9"/>
      <c r="S11" s="9"/>
      <c r="T11" s="9"/>
      <c r="U11" s="9"/>
      <c r="V11" s="9"/>
      <c r="W11" s="9"/>
      <c r="X11" s="9"/>
      <c r="Y11" s="9"/>
      <c r="Z11" s="9"/>
      <c r="AA11" s="9"/>
      <c r="AB11" s="9"/>
      <c r="AC11" s="9"/>
      <c r="AD11" s="9"/>
    </row>
    <row r="12" spans="1:30" ht="14.25" customHeight="1" x14ac:dyDescent="0.3">
      <c r="A12" s="1"/>
      <c r="B12" s="35" t="s">
        <v>266</v>
      </c>
      <c r="C12" s="27">
        <f>Pro_Forma_IS!C41</f>
        <v>7.1428571428571432</v>
      </c>
      <c r="D12" s="27">
        <f>Pro_Forma_IS!D41</f>
        <v>7.1428571428571432</v>
      </c>
      <c r="E12" s="27">
        <f>Pro_Forma_IS!E41</f>
        <v>7.1428571428571432</v>
      </c>
      <c r="F12" s="27">
        <f>Pro_Forma_IS!F41</f>
        <v>7.1428571428571432</v>
      </c>
      <c r="G12" s="27">
        <f>Pro_Forma_IS!G41</f>
        <v>7.1428571428571432</v>
      </c>
      <c r="H12" s="9"/>
      <c r="I12" s="9"/>
      <c r="J12" s="9"/>
      <c r="K12" s="9"/>
      <c r="L12" s="9"/>
      <c r="M12" s="9"/>
      <c r="N12" s="9"/>
      <c r="O12" s="9"/>
      <c r="P12" s="9"/>
      <c r="Q12" s="9"/>
      <c r="R12" s="9"/>
      <c r="S12" s="9"/>
      <c r="T12" s="9"/>
      <c r="U12" s="9"/>
      <c r="V12" s="9"/>
      <c r="W12" s="9"/>
      <c r="X12" s="9"/>
      <c r="Y12" s="9"/>
      <c r="Z12" s="9"/>
      <c r="AA12" s="9"/>
      <c r="AB12" s="9"/>
      <c r="AC12" s="9"/>
      <c r="AD12" s="9"/>
    </row>
    <row r="13" spans="1:30" ht="14.25" customHeight="1" x14ac:dyDescent="0.3">
      <c r="A13" s="1"/>
      <c r="B13" s="35" t="s">
        <v>267</v>
      </c>
      <c r="C13" s="27">
        <f>Pro_Forma_IS!C40</f>
        <v>65</v>
      </c>
      <c r="D13" s="27">
        <f>Pro_Forma_IS!D40</f>
        <v>0</v>
      </c>
      <c r="E13" s="27">
        <f>Pro_Forma_IS!E40</f>
        <v>0</v>
      </c>
      <c r="F13" s="27">
        <f>Pro_Forma_IS!F40</f>
        <v>0</v>
      </c>
      <c r="G13" s="27">
        <f>Pro_Forma_IS!G40</f>
        <v>0</v>
      </c>
      <c r="H13" s="9"/>
      <c r="I13" s="9"/>
      <c r="J13" s="9"/>
      <c r="K13" s="9"/>
      <c r="L13" s="9"/>
      <c r="M13" s="9"/>
      <c r="N13" s="9"/>
      <c r="O13" s="9"/>
      <c r="P13" s="9"/>
      <c r="Q13" s="9"/>
      <c r="R13" s="9"/>
      <c r="S13" s="9"/>
      <c r="T13" s="9"/>
      <c r="U13" s="9"/>
      <c r="V13" s="9"/>
      <c r="W13" s="9"/>
      <c r="X13" s="9"/>
      <c r="Y13" s="9"/>
      <c r="Z13" s="9"/>
      <c r="AA13" s="9"/>
      <c r="AB13" s="9"/>
      <c r="AC13" s="9"/>
      <c r="AD13" s="9"/>
    </row>
    <row r="14" spans="1:30" ht="14.25" customHeight="1" x14ac:dyDescent="0.3">
      <c r="A14" s="1"/>
      <c r="B14" s="35" t="s">
        <v>268</v>
      </c>
      <c r="C14" s="27">
        <f>0</f>
        <v>0</v>
      </c>
      <c r="D14" s="27">
        <f>0</f>
        <v>0</v>
      </c>
      <c r="E14" s="27">
        <f>0</f>
        <v>0</v>
      </c>
      <c r="F14" s="27">
        <f>0</f>
        <v>0</v>
      </c>
      <c r="G14" s="27">
        <f>0</f>
        <v>0</v>
      </c>
      <c r="H14" s="9"/>
      <c r="I14" s="9"/>
      <c r="J14" s="9"/>
      <c r="K14" s="9"/>
      <c r="L14" s="9"/>
      <c r="M14" s="9"/>
      <c r="N14" s="9"/>
      <c r="O14" s="9"/>
      <c r="P14" s="9"/>
      <c r="Q14" s="9"/>
      <c r="R14" s="9"/>
      <c r="S14" s="9"/>
      <c r="T14" s="9"/>
      <c r="U14" s="9"/>
      <c r="V14" s="9"/>
      <c r="W14" s="9"/>
      <c r="X14" s="9"/>
      <c r="Y14" s="9"/>
      <c r="Z14" s="9"/>
      <c r="AA14" s="9"/>
      <c r="AB14" s="9"/>
      <c r="AC14" s="9"/>
      <c r="AD14" s="9"/>
    </row>
    <row r="15" spans="1:30" ht="14.25" customHeight="1" x14ac:dyDescent="0.3">
      <c r="A15" s="1"/>
      <c r="B15" s="1"/>
      <c r="C15" s="1"/>
      <c r="D15" s="1"/>
      <c r="E15" s="1"/>
      <c r="F15" s="1"/>
      <c r="G15" s="1"/>
      <c r="H15" s="9"/>
      <c r="I15" s="9"/>
      <c r="J15" s="9"/>
      <c r="K15" s="9"/>
      <c r="L15" s="9"/>
      <c r="M15" s="9"/>
      <c r="N15" s="9"/>
      <c r="O15" s="9"/>
      <c r="P15" s="9"/>
      <c r="Q15" s="9"/>
      <c r="R15" s="9"/>
      <c r="S15" s="9"/>
      <c r="T15" s="9"/>
      <c r="U15" s="9"/>
      <c r="V15" s="9"/>
      <c r="W15" s="9"/>
      <c r="X15" s="9"/>
      <c r="Y15" s="9"/>
      <c r="Z15" s="9"/>
      <c r="AA15" s="9"/>
      <c r="AB15" s="9"/>
      <c r="AC15" s="9"/>
      <c r="AD15" s="9"/>
    </row>
    <row r="16" spans="1:30" ht="14.25" customHeight="1" x14ac:dyDescent="0.3">
      <c r="A16" s="1"/>
      <c r="B16" s="36" t="s">
        <v>269</v>
      </c>
      <c r="C16" s="37">
        <f>SUM(C8:C14)</f>
        <v>9412.6069642857128</v>
      </c>
      <c r="D16" s="37">
        <f>SUM(D8:D14)</f>
        <v>9935.8609142857149</v>
      </c>
      <c r="E16" s="37">
        <f>SUM(E8:E14)</f>
        <v>10556.706180285717</v>
      </c>
      <c r="F16" s="37">
        <f>SUM(F8:F14)</f>
        <v>11129.455048815713</v>
      </c>
      <c r="G16" s="37">
        <f>SUM(G8:G14)</f>
        <v>11692.904904640616</v>
      </c>
      <c r="H16" s="9"/>
      <c r="I16" s="9"/>
      <c r="J16" s="9"/>
      <c r="K16" s="9"/>
      <c r="L16" s="9"/>
      <c r="M16" s="9"/>
      <c r="N16" s="9"/>
      <c r="O16" s="9"/>
      <c r="P16" s="9"/>
      <c r="Q16" s="9"/>
      <c r="R16" s="9"/>
      <c r="S16" s="9"/>
      <c r="T16" s="9"/>
      <c r="U16" s="9"/>
      <c r="V16" s="9"/>
      <c r="W16" s="9"/>
      <c r="X16" s="9"/>
      <c r="Y16" s="9"/>
      <c r="Z16" s="9"/>
      <c r="AA16" s="9"/>
      <c r="AB16" s="9"/>
      <c r="AC16" s="9"/>
      <c r="AD16" s="9"/>
    </row>
    <row r="17" spans="1:30" ht="14.25" customHeight="1" x14ac:dyDescent="0.3">
      <c r="A17" s="1"/>
      <c r="B17" s="3" t="s">
        <v>270</v>
      </c>
      <c r="C17" s="34"/>
      <c r="D17" s="34"/>
      <c r="E17" s="34"/>
      <c r="F17" s="34"/>
      <c r="G17" s="34"/>
      <c r="H17" s="9"/>
      <c r="I17" s="9"/>
      <c r="J17" s="9"/>
      <c r="K17" s="9"/>
      <c r="L17" s="9"/>
      <c r="M17" s="9"/>
      <c r="N17" s="9"/>
      <c r="O17" s="9"/>
      <c r="P17" s="9"/>
      <c r="Q17" s="9"/>
      <c r="R17" s="9"/>
      <c r="S17" s="9"/>
      <c r="T17" s="9"/>
      <c r="U17" s="9"/>
      <c r="V17" s="9"/>
      <c r="W17" s="9"/>
      <c r="X17" s="9"/>
      <c r="Y17" s="9"/>
      <c r="Z17" s="9"/>
      <c r="AA17" s="9"/>
      <c r="AB17" s="9"/>
      <c r="AC17" s="9"/>
      <c r="AD17" s="9"/>
    </row>
    <row r="18" spans="1:30" ht="14.25" customHeight="1" x14ac:dyDescent="0.3">
      <c r="A18" s="1"/>
      <c r="B18" s="35" t="s">
        <v>271</v>
      </c>
      <c r="C18" s="27">
        <f>0</f>
        <v>0</v>
      </c>
      <c r="D18" s="27">
        <f>0</f>
        <v>0</v>
      </c>
      <c r="E18" s="27">
        <f>0</f>
        <v>0</v>
      </c>
      <c r="F18" s="27">
        <f>0</f>
        <v>0</v>
      </c>
      <c r="G18" s="27">
        <f>0</f>
        <v>0</v>
      </c>
      <c r="H18" s="9"/>
      <c r="I18" s="9"/>
      <c r="J18" s="9"/>
      <c r="K18" s="9"/>
      <c r="L18" s="9"/>
      <c r="M18" s="9"/>
      <c r="N18" s="9"/>
      <c r="O18" s="9"/>
      <c r="P18" s="9"/>
      <c r="Q18" s="9"/>
      <c r="R18" s="9"/>
      <c r="S18" s="9"/>
      <c r="T18" s="9"/>
      <c r="U18" s="9"/>
      <c r="V18" s="9"/>
      <c r="W18" s="9"/>
      <c r="X18" s="9"/>
      <c r="Y18" s="9"/>
      <c r="Z18" s="9"/>
      <c r="AA18" s="9"/>
      <c r="AB18" s="9"/>
      <c r="AC18" s="9"/>
      <c r="AD18" s="9"/>
    </row>
    <row r="19" spans="1:30" ht="14.25" customHeight="1" x14ac:dyDescent="0.3">
      <c r="A19" s="1"/>
      <c r="B19" s="35" t="s">
        <v>272</v>
      </c>
      <c r="C19" s="27">
        <f>-Pro_Forma_IS!C26*Assumptions!C76</f>
        <v>-1455.36</v>
      </c>
      <c r="D19" s="27">
        <f>-Pro_Forma_IS!D26*Assumptions!C76</f>
        <v>-1529.6987999999999</v>
      </c>
      <c r="E19" s="27">
        <f>-Pro_Forma_IS!E26*Assumptions!C76</f>
        <v>-1607.6912040000002</v>
      </c>
      <c r="F19" s="27">
        <f>-Pro_Forma_IS!F26*Assumptions!C76</f>
        <v>-1689.5208253199999</v>
      </c>
      <c r="G19" s="27">
        <f>-Pro_Forma_IS!G26*Assumptions!C76</f>
        <v>-1773.8805325956002</v>
      </c>
      <c r="H19" s="9"/>
      <c r="I19" s="9"/>
      <c r="J19" s="9"/>
      <c r="K19" s="9"/>
      <c r="L19" s="9"/>
      <c r="M19" s="9"/>
      <c r="N19" s="9"/>
      <c r="O19" s="9"/>
      <c r="P19" s="9"/>
      <c r="Q19" s="9"/>
      <c r="R19" s="9"/>
      <c r="S19" s="9"/>
      <c r="T19" s="9"/>
      <c r="U19" s="9"/>
      <c r="V19" s="9"/>
      <c r="W19" s="9"/>
      <c r="X19" s="9"/>
      <c r="Y19" s="9"/>
      <c r="Z19" s="9"/>
      <c r="AA19" s="9"/>
      <c r="AB19" s="9"/>
      <c r="AC19" s="9"/>
      <c r="AD19" s="9"/>
    </row>
    <row r="20" spans="1:30" ht="14.25" customHeight="1" x14ac:dyDescent="0.3">
      <c r="A20" s="1"/>
      <c r="B20" s="1"/>
      <c r="C20" s="1"/>
      <c r="D20" s="1"/>
      <c r="E20" s="1"/>
      <c r="F20" s="1"/>
      <c r="G20" s="1"/>
      <c r="H20" s="9"/>
      <c r="I20" s="9"/>
      <c r="J20" s="9"/>
      <c r="K20" s="9"/>
      <c r="L20" s="9"/>
      <c r="M20" s="9"/>
      <c r="N20" s="9"/>
      <c r="O20" s="9"/>
      <c r="P20" s="9"/>
      <c r="Q20" s="9"/>
      <c r="R20" s="9"/>
      <c r="S20" s="9"/>
      <c r="T20" s="9"/>
      <c r="U20" s="9"/>
      <c r="V20" s="9"/>
      <c r="W20" s="9"/>
      <c r="X20" s="9"/>
      <c r="Y20" s="9"/>
      <c r="Z20" s="9"/>
      <c r="AA20" s="9"/>
      <c r="AB20" s="9"/>
      <c r="AC20" s="9"/>
      <c r="AD20" s="9"/>
    </row>
    <row r="21" spans="1:30" ht="14.25" customHeight="1" x14ac:dyDescent="0.3">
      <c r="A21" s="1"/>
      <c r="B21" s="36" t="s">
        <v>273</v>
      </c>
      <c r="C21" s="37">
        <f>C18+C19</f>
        <v>-1455.36</v>
      </c>
      <c r="D21" s="37">
        <f>D18+D19</f>
        <v>-1529.6987999999999</v>
      </c>
      <c r="E21" s="37">
        <f>E18+E19</f>
        <v>-1607.6912040000002</v>
      </c>
      <c r="F21" s="37">
        <f>F18+F19</f>
        <v>-1689.5208253199999</v>
      </c>
      <c r="G21" s="37">
        <f>G18+G19</f>
        <v>-1773.8805325956002</v>
      </c>
      <c r="H21" s="9"/>
      <c r="I21" s="9"/>
      <c r="J21" s="9"/>
      <c r="K21" s="9"/>
      <c r="L21" s="9"/>
      <c r="M21" s="9"/>
      <c r="N21" s="9"/>
      <c r="O21" s="9"/>
      <c r="P21" s="9"/>
      <c r="Q21" s="9"/>
      <c r="R21" s="9"/>
      <c r="S21" s="9"/>
      <c r="T21" s="9"/>
      <c r="U21" s="9"/>
      <c r="V21" s="9"/>
      <c r="W21" s="9"/>
      <c r="X21" s="9"/>
      <c r="Y21" s="9"/>
      <c r="Z21" s="9"/>
      <c r="AA21" s="9"/>
      <c r="AB21" s="9"/>
      <c r="AC21" s="9"/>
      <c r="AD21" s="9"/>
    </row>
    <row r="22" spans="1:30" ht="14.25" customHeight="1" x14ac:dyDescent="0.3">
      <c r="A22" s="1"/>
      <c r="B22" s="3" t="s">
        <v>274</v>
      </c>
      <c r="C22" s="34"/>
      <c r="D22" s="34"/>
      <c r="E22" s="34"/>
      <c r="F22" s="34"/>
      <c r="G22" s="34"/>
      <c r="H22" s="9"/>
      <c r="I22" s="9"/>
      <c r="J22" s="9"/>
      <c r="K22" s="9"/>
      <c r="L22" s="9"/>
      <c r="M22" s="9"/>
      <c r="N22" s="9"/>
      <c r="O22" s="9"/>
      <c r="P22" s="9"/>
      <c r="Q22" s="9"/>
      <c r="R22" s="9"/>
      <c r="S22" s="9"/>
      <c r="T22" s="9"/>
      <c r="U22" s="9"/>
      <c r="V22" s="9"/>
      <c r="W22" s="9"/>
      <c r="X22" s="9"/>
      <c r="Y22" s="9"/>
      <c r="Z22" s="9"/>
      <c r="AA22" s="9"/>
      <c r="AB22" s="9"/>
      <c r="AC22" s="9"/>
      <c r="AD22" s="9"/>
    </row>
    <row r="23" spans="1:30" ht="14.25" customHeight="1" x14ac:dyDescent="0.3">
      <c r="A23" s="1"/>
      <c r="B23" s="35" t="s">
        <v>275</v>
      </c>
      <c r="C23" s="27">
        <f>Credit_Metrics!C9</f>
        <v>35</v>
      </c>
      <c r="D23" s="27">
        <f>Credit_Metrics!D9</f>
        <v>3.5</v>
      </c>
      <c r="E23" s="27">
        <f>Credit_Metrics!E9</f>
        <v>3.5</v>
      </c>
      <c r="F23" s="27">
        <f>Credit_Metrics!F9</f>
        <v>3.5</v>
      </c>
      <c r="G23" s="27">
        <f>Credit_Metrics!G9</f>
        <v>3.5</v>
      </c>
      <c r="H23" s="9"/>
      <c r="I23" s="9"/>
      <c r="J23" s="9"/>
      <c r="K23" s="9"/>
      <c r="L23" s="9"/>
      <c r="M23" s="9"/>
      <c r="N23" s="9"/>
      <c r="O23" s="9"/>
      <c r="P23" s="9"/>
      <c r="Q23" s="9"/>
      <c r="R23" s="9"/>
      <c r="S23" s="9"/>
      <c r="T23" s="9"/>
      <c r="U23" s="9"/>
      <c r="V23" s="9"/>
      <c r="W23" s="9"/>
      <c r="X23" s="9"/>
      <c r="Y23" s="9"/>
      <c r="Z23" s="9"/>
      <c r="AA23" s="9"/>
      <c r="AB23" s="9"/>
      <c r="AC23" s="9"/>
      <c r="AD23" s="9"/>
    </row>
    <row r="24" spans="1:30" ht="14.25" customHeight="1" x14ac:dyDescent="0.3">
      <c r="A24" s="1"/>
      <c r="B24" s="35" t="s">
        <v>276</v>
      </c>
      <c r="C24" s="27">
        <f>Credit_Metrics!C10</f>
        <v>0</v>
      </c>
      <c r="D24" s="27">
        <f>Credit_Metrics!D10</f>
        <v>0</v>
      </c>
      <c r="E24" s="27">
        <f>Credit_Metrics!E10</f>
        <v>0</v>
      </c>
      <c r="F24" s="27">
        <f>Credit_Metrics!F10</f>
        <v>0</v>
      </c>
      <c r="G24" s="27">
        <f>Credit_Metrics!G10</f>
        <v>0</v>
      </c>
      <c r="H24" s="9"/>
      <c r="I24" s="9"/>
      <c r="J24" s="9"/>
      <c r="K24" s="9"/>
      <c r="L24" s="9"/>
      <c r="M24" s="9"/>
      <c r="N24" s="9"/>
      <c r="O24" s="9"/>
      <c r="P24" s="9"/>
      <c r="Q24" s="9"/>
      <c r="R24" s="9"/>
      <c r="S24" s="9"/>
      <c r="T24" s="9"/>
      <c r="U24" s="9"/>
      <c r="V24" s="9"/>
      <c r="W24" s="9"/>
      <c r="X24" s="9"/>
      <c r="Y24" s="9"/>
      <c r="Z24" s="9"/>
      <c r="AA24" s="9"/>
      <c r="AB24" s="9"/>
      <c r="AC24" s="9"/>
      <c r="AD24" s="9"/>
    </row>
    <row r="25" spans="1:30" ht="14.25" customHeight="1" x14ac:dyDescent="0.3">
      <c r="A25" s="1"/>
      <c r="B25" s="35" t="s">
        <v>277</v>
      </c>
      <c r="C25" s="27">
        <f>Credit_Metrics!C16</f>
        <v>-250</v>
      </c>
      <c r="D25" s="27">
        <f>Credit_Metrics!D16</f>
        <v>-237.5</v>
      </c>
      <c r="E25" s="27">
        <f>Credit_Metrics!E16</f>
        <v>-225.625</v>
      </c>
      <c r="F25" s="27">
        <f>Credit_Metrics!F16</f>
        <v>-214.34375</v>
      </c>
      <c r="G25" s="27">
        <f>Credit_Metrics!G16</f>
        <v>-203.62656250000001</v>
      </c>
      <c r="H25" s="9"/>
      <c r="I25" s="9"/>
      <c r="J25" s="9"/>
      <c r="K25" s="9"/>
      <c r="L25" s="9"/>
      <c r="M25" s="9"/>
      <c r="N25" s="9"/>
      <c r="O25" s="9"/>
      <c r="P25" s="9"/>
      <c r="Q25" s="9"/>
      <c r="R25" s="9"/>
      <c r="S25" s="9"/>
      <c r="T25" s="9"/>
      <c r="U25" s="9"/>
      <c r="V25" s="9"/>
      <c r="W25" s="9"/>
      <c r="X25" s="9"/>
      <c r="Y25" s="9"/>
      <c r="Z25" s="9"/>
      <c r="AA25" s="9"/>
      <c r="AB25" s="9"/>
      <c r="AC25" s="9"/>
      <c r="AD25" s="9"/>
    </row>
    <row r="26" spans="1:30" ht="14.25" customHeight="1" x14ac:dyDescent="0.3">
      <c r="A26" s="1"/>
      <c r="B26" s="35" t="s">
        <v>278</v>
      </c>
      <c r="C26" s="27">
        <f>-Credit_Metrics!C41</f>
        <v>-1473.9708214285711</v>
      </c>
      <c r="D26" s="27">
        <f>-Credit_Metrics!D41</f>
        <v>-1572.2238514285718</v>
      </c>
      <c r="E26" s="27">
        <f>-Credit_Metrics!E41</f>
        <v>-1676.0229238285719</v>
      </c>
      <c r="F26" s="27">
        <f>-Credit_Metrics!F41</f>
        <v>-1769.1816982705711</v>
      </c>
      <c r="G26" s="27">
        <f>-Credit_Metrics!G41</f>
        <v>-1859.4083992304318</v>
      </c>
      <c r="H26" s="9"/>
      <c r="I26" s="9"/>
      <c r="J26" s="9"/>
      <c r="K26" s="9"/>
      <c r="L26" s="9"/>
      <c r="M26" s="9"/>
      <c r="N26" s="9"/>
      <c r="O26" s="9"/>
      <c r="P26" s="9"/>
      <c r="Q26" s="9"/>
      <c r="R26" s="9"/>
      <c r="S26" s="9"/>
      <c r="T26" s="9"/>
      <c r="U26" s="9"/>
      <c r="V26" s="9"/>
      <c r="W26" s="9"/>
      <c r="X26" s="9"/>
      <c r="Y26" s="9"/>
      <c r="Z26" s="9"/>
      <c r="AA26" s="9"/>
      <c r="AB26" s="9"/>
      <c r="AC26" s="9"/>
      <c r="AD26" s="9"/>
    </row>
    <row r="27" spans="1:30" ht="14.25" customHeight="1" x14ac:dyDescent="0.3">
      <c r="A27" s="1"/>
      <c r="B27" s="1"/>
      <c r="C27" s="1"/>
      <c r="D27" s="1"/>
      <c r="E27" s="1"/>
      <c r="F27" s="1"/>
      <c r="G27" s="1"/>
      <c r="H27" s="9"/>
      <c r="I27" s="9"/>
      <c r="J27" s="9"/>
      <c r="K27" s="9"/>
      <c r="L27" s="9"/>
      <c r="M27" s="9"/>
      <c r="N27" s="9"/>
      <c r="O27" s="9"/>
      <c r="P27" s="9"/>
      <c r="Q27" s="9"/>
      <c r="R27" s="9"/>
      <c r="S27" s="9"/>
      <c r="T27" s="9"/>
      <c r="U27" s="9"/>
      <c r="V27" s="9"/>
      <c r="W27" s="9"/>
      <c r="X27" s="9"/>
      <c r="Y27" s="9"/>
      <c r="Z27" s="9"/>
      <c r="AA27" s="9"/>
      <c r="AB27" s="9"/>
      <c r="AC27" s="9"/>
      <c r="AD27" s="9"/>
    </row>
    <row r="28" spans="1:30" ht="14.25" customHeight="1" x14ac:dyDescent="0.3">
      <c r="A28" s="1"/>
      <c r="B28" s="36" t="s">
        <v>279</v>
      </c>
      <c r="C28" s="37">
        <f>C23+C24+C25+C26</f>
        <v>-1688.9708214285711</v>
      </c>
      <c r="D28" s="37">
        <f>D23+D24+D25+D26</f>
        <v>-1806.2238514285718</v>
      </c>
      <c r="E28" s="37">
        <f>E23+E24+E25+E26</f>
        <v>-1898.1479238285719</v>
      </c>
      <c r="F28" s="37">
        <f>F23+F24+F25+F26</f>
        <v>-1980.0254482705711</v>
      </c>
      <c r="G28" s="37">
        <f>G23+G24+G25+G26</f>
        <v>-2059.5349617304319</v>
      </c>
      <c r="H28" s="9"/>
      <c r="I28" s="9"/>
      <c r="J28" s="9"/>
      <c r="K28" s="9"/>
      <c r="L28" s="9"/>
      <c r="M28" s="9"/>
      <c r="N28" s="9"/>
      <c r="O28" s="9"/>
      <c r="P28" s="9"/>
      <c r="Q28" s="9"/>
      <c r="R28" s="9"/>
      <c r="S28" s="9"/>
      <c r="T28" s="9"/>
      <c r="U28" s="9"/>
      <c r="V28" s="9"/>
      <c r="W28" s="9"/>
      <c r="X28" s="9"/>
      <c r="Y28" s="9"/>
      <c r="Z28" s="9"/>
      <c r="AA28" s="9"/>
      <c r="AB28" s="9"/>
      <c r="AC28" s="9"/>
      <c r="AD28" s="9"/>
    </row>
    <row r="29" spans="1:30" ht="14.25" customHeight="1" x14ac:dyDescent="0.3">
      <c r="A29" s="1"/>
      <c r="B29" s="1"/>
      <c r="C29" s="1"/>
      <c r="D29" s="1"/>
      <c r="E29" s="1"/>
      <c r="F29" s="1"/>
      <c r="G29" s="1"/>
      <c r="H29" s="9"/>
      <c r="I29" s="9"/>
      <c r="J29" s="9"/>
      <c r="K29" s="9"/>
      <c r="L29" s="9"/>
      <c r="M29" s="9"/>
      <c r="N29" s="9"/>
      <c r="O29" s="9"/>
      <c r="P29" s="9"/>
      <c r="Q29" s="9"/>
      <c r="R29" s="9"/>
      <c r="S29" s="9"/>
      <c r="T29" s="9"/>
      <c r="U29" s="9"/>
      <c r="V29" s="9"/>
      <c r="W29" s="9"/>
      <c r="X29" s="9"/>
      <c r="Y29" s="9"/>
      <c r="Z29" s="9"/>
      <c r="AA29" s="9"/>
      <c r="AB29" s="9"/>
      <c r="AC29" s="9"/>
      <c r="AD29" s="9"/>
    </row>
    <row r="30" spans="1:30" ht="14.25" customHeight="1" x14ac:dyDescent="0.3">
      <c r="A30" s="1"/>
      <c r="B30" s="36" t="s">
        <v>280</v>
      </c>
      <c r="C30" s="37">
        <f>C16+C21+C28</f>
        <v>6268.2761428571421</v>
      </c>
      <c r="D30" s="37">
        <f>D16+D21+D28</f>
        <v>6599.9382628571429</v>
      </c>
      <c r="E30" s="37">
        <f>E16+E21+E28</f>
        <v>7050.8670524571444</v>
      </c>
      <c r="F30" s="37">
        <f>F16+F21+F28</f>
        <v>7459.9087752251417</v>
      </c>
      <c r="G30" s="37">
        <f>G16+G21+G28</f>
        <v>7859.4894103145843</v>
      </c>
      <c r="H30" s="9"/>
      <c r="I30" s="9"/>
      <c r="J30" s="9"/>
      <c r="K30" s="9"/>
      <c r="L30" s="9"/>
      <c r="M30" s="9"/>
      <c r="N30" s="9"/>
      <c r="O30" s="9"/>
      <c r="P30" s="9"/>
      <c r="Q30" s="9"/>
      <c r="R30" s="9"/>
      <c r="S30" s="9"/>
      <c r="T30" s="9"/>
      <c r="U30" s="9"/>
      <c r="V30" s="9"/>
      <c r="W30" s="9"/>
      <c r="X30" s="9"/>
      <c r="Y30" s="9"/>
      <c r="Z30" s="9"/>
      <c r="AA30" s="9"/>
      <c r="AB30" s="9"/>
      <c r="AC30" s="9"/>
      <c r="AD30" s="9"/>
    </row>
    <row r="31" spans="1:30" ht="14.25" customHeight="1" x14ac:dyDescent="0.3">
      <c r="A31" s="1"/>
      <c r="B31" t="s">
        <v>281</v>
      </c>
      <c r="C31" s="27">
        <f>Pro_Forma_BS!C8</f>
        <v>0</v>
      </c>
      <c r="D31" s="27">
        <f>C32</f>
        <v>6268.2761428571421</v>
      </c>
      <c r="E31" s="27">
        <f>D32</f>
        <v>12868.214405714285</v>
      </c>
      <c r="F31" s="27">
        <f>E32</f>
        <v>19919.081458171429</v>
      </c>
      <c r="G31" s="27">
        <f>F32</f>
        <v>27378.990233396573</v>
      </c>
      <c r="H31" s="9"/>
      <c r="I31" s="9"/>
      <c r="J31" s="9"/>
      <c r="K31" s="9"/>
      <c r="L31" s="9"/>
      <c r="M31" s="9"/>
      <c r="N31" s="9"/>
      <c r="O31" s="9"/>
      <c r="P31" s="9"/>
      <c r="Q31" s="9"/>
      <c r="R31" s="9"/>
      <c r="S31" s="9"/>
      <c r="T31" s="9"/>
      <c r="U31" s="9"/>
      <c r="V31" s="9"/>
      <c r="W31" s="9"/>
      <c r="X31" s="9"/>
      <c r="Y31" s="9"/>
      <c r="Z31" s="9"/>
      <c r="AA31" s="9"/>
      <c r="AB31" s="9"/>
      <c r="AC31" s="9"/>
      <c r="AD31" s="9"/>
    </row>
    <row r="32" spans="1:30" ht="14.25" customHeight="1" x14ac:dyDescent="0.3">
      <c r="A32" s="1"/>
      <c r="B32" s="29" t="s">
        <v>282</v>
      </c>
      <c r="C32" s="30">
        <f>C31+C30</f>
        <v>6268.2761428571421</v>
      </c>
      <c r="D32" s="30">
        <f>D31+D30</f>
        <v>12868.214405714285</v>
      </c>
      <c r="E32" s="30">
        <f>E31+E30</f>
        <v>19919.081458171429</v>
      </c>
      <c r="F32" s="30">
        <f>F31+F30</f>
        <v>27378.990233396573</v>
      </c>
      <c r="G32" s="30">
        <f>G31+G30</f>
        <v>35238.479643711158</v>
      </c>
      <c r="H32" s="9"/>
      <c r="I32" s="9"/>
      <c r="J32" s="9"/>
      <c r="K32" s="9"/>
      <c r="L32" s="9"/>
      <c r="M32" s="9"/>
      <c r="N32" s="9"/>
      <c r="O32" s="9"/>
      <c r="P32" s="9"/>
      <c r="Q32" s="9"/>
      <c r="R32" s="9"/>
      <c r="S32" s="9"/>
      <c r="T32" s="9"/>
      <c r="U32" s="9"/>
      <c r="V32" s="9"/>
      <c r="W32" s="9"/>
      <c r="X32" s="9"/>
      <c r="Y32" s="9"/>
      <c r="Z32" s="9"/>
      <c r="AA32" s="9"/>
      <c r="AB32" s="9"/>
      <c r="AC32" s="9"/>
      <c r="AD32" s="9"/>
    </row>
  </sheetData>
  <pageMargins left="0.75" right="0.75" top="1" bottom="1" header="0.511811023622047" footer="0.511811023622047"/>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AD47"/>
  </sheetPr>
  <dimension ref="A1:AD21"/>
  <sheetViews>
    <sheetView showGridLines="0" zoomScaleNormal="100" workbookViewId="0">
      <selection activeCell="Q1" sqref="Q1:AD3"/>
    </sheetView>
  </sheetViews>
  <sheetFormatPr defaultColWidth="8.59765625" defaultRowHeight="13.8" x14ac:dyDescent="0.25"/>
  <cols>
    <col min="1" max="1" width="1.8984375" customWidth="1"/>
    <col min="2" max="2" width="32" customWidth="1"/>
    <col min="3" max="7" width="16" customWidth="1"/>
  </cols>
  <sheetData>
    <row r="1" spans="1:30" ht="14.25" customHeight="1" x14ac:dyDescent="0.3">
      <c r="A1" s="86"/>
      <c r="B1" s="86"/>
      <c r="C1" s="86"/>
      <c r="D1" s="86"/>
      <c r="E1" s="86"/>
      <c r="F1" s="86"/>
      <c r="G1" s="86"/>
      <c r="H1" s="87"/>
      <c r="I1" s="87"/>
      <c r="J1" s="87"/>
      <c r="K1" s="87"/>
      <c r="L1" s="87"/>
      <c r="M1" s="87"/>
      <c r="N1" s="87"/>
      <c r="O1" s="87"/>
      <c r="P1" s="87"/>
      <c r="Q1" s="85"/>
      <c r="R1" s="85"/>
      <c r="S1" s="85"/>
      <c r="T1" s="85"/>
      <c r="U1" s="85"/>
      <c r="V1" s="85"/>
      <c r="W1" s="85"/>
      <c r="X1" s="85"/>
      <c r="Y1" s="85"/>
      <c r="Z1" s="85"/>
      <c r="AA1" s="85"/>
      <c r="AB1" s="85"/>
      <c r="AC1" s="85"/>
      <c r="AD1" s="85"/>
    </row>
    <row r="2" spans="1:30" ht="21.75" customHeight="1" x14ac:dyDescent="0.4">
      <c r="A2" s="86"/>
      <c r="B2" s="88" t="s">
        <v>283</v>
      </c>
      <c r="C2" s="86"/>
      <c r="D2" s="86"/>
      <c r="E2" s="86"/>
      <c r="F2" s="86"/>
      <c r="G2" s="86"/>
      <c r="H2" s="87"/>
      <c r="I2" s="87"/>
      <c r="J2" s="87"/>
      <c r="K2" s="87"/>
      <c r="L2" s="87"/>
      <c r="M2" s="87"/>
      <c r="N2" s="87"/>
      <c r="O2" s="87"/>
      <c r="P2" s="87"/>
      <c r="Q2" s="85"/>
      <c r="R2" s="85"/>
      <c r="S2" s="85"/>
      <c r="T2" s="85"/>
      <c r="U2" s="85"/>
      <c r="V2" s="85"/>
      <c r="W2" s="85"/>
      <c r="X2" s="85"/>
      <c r="Y2" s="85"/>
      <c r="Z2" s="85"/>
      <c r="AA2" s="85"/>
      <c r="AB2" s="85"/>
      <c r="AC2" s="85"/>
      <c r="AD2" s="85"/>
    </row>
    <row r="3" spans="1:30" ht="14.25" customHeight="1" x14ac:dyDescent="0.3">
      <c r="A3" s="86"/>
      <c r="B3" s="90" t="s">
        <v>284</v>
      </c>
      <c r="C3" s="86"/>
      <c r="D3" s="86"/>
      <c r="E3" s="86"/>
      <c r="F3" s="86"/>
      <c r="G3" s="86"/>
      <c r="H3" s="87"/>
      <c r="I3" s="87"/>
      <c r="J3" s="87"/>
      <c r="K3" s="87"/>
      <c r="L3" s="87"/>
      <c r="M3" s="87"/>
      <c r="N3" s="87"/>
      <c r="O3" s="87"/>
      <c r="P3" s="87"/>
      <c r="Q3" s="85"/>
      <c r="R3" s="85"/>
      <c r="S3" s="85"/>
      <c r="T3" s="85"/>
      <c r="U3" s="85"/>
      <c r="V3" s="85"/>
      <c r="W3" s="85"/>
      <c r="X3" s="85"/>
      <c r="Y3" s="85"/>
      <c r="Z3" s="85"/>
      <c r="AA3" s="85"/>
      <c r="AB3" s="85"/>
      <c r="AC3" s="85"/>
      <c r="AD3" s="85"/>
    </row>
    <row r="4" spans="1:30" ht="14.25" customHeight="1" x14ac:dyDescent="0.3">
      <c r="A4" s="1"/>
      <c r="B4" s="1"/>
      <c r="C4" s="1"/>
      <c r="D4" s="1"/>
      <c r="E4" s="1"/>
      <c r="F4" s="1"/>
      <c r="G4" s="1"/>
      <c r="H4" s="9"/>
      <c r="I4" s="9"/>
      <c r="J4" s="9"/>
      <c r="K4" s="9"/>
      <c r="L4" s="9"/>
      <c r="M4" s="9"/>
      <c r="N4" s="9"/>
      <c r="O4" s="9"/>
      <c r="P4" s="9"/>
      <c r="Q4" s="9"/>
      <c r="R4" s="9"/>
      <c r="S4" s="9"/>
      <c r="T4" s="9"/>
      <c r="U4" s="9"/>
      <c r="V4" s="9"/>
      <c r="W4" s="9"/>
      <c r="X4" s="9"/>
      <c r="Y4" s="9"/>
      <c r="Z4" s="9"/>
      <c r="AA4" s="9"/>
      <c r="AB4" s="9"/>
      <c r="AC4" s="9"/>
      <c r="AD4" s="9"/>
    </row>
    <row r="5" spans="1:30" ht="14.25" customHeight="1" x14ac:dyDescent="0.3">
      <c r="A5" s="1"/>
      <c r="B5" s="1"/>
      <c r="C5" s="1"/>
      <c r="D5" s="1"/>
      <c r="E5" s="1"/>
      <c r="F5" s="1"/>
      <c r="G5" s="1"/>
      <c r="H5" s="9"/>
      <c r="I5" s="9"/>
      <c r="J5" s="9"/>
      <c r="K5" s="9"/>
      <c r="L5" s="9"/>
      <c r="M5" s="9"/>
      <c r="N5" s="9"/>
      <c r="O5" s="9"/>
      <c r="P5" s="9"/>
      <c r="Q5" s="9"/>
      <c r="R5" s="9"/>
      <c r="S5" s="9"/>
      <c r="T5" s="9"/>
      <c r="U5" s="9"/>
      <c r="V5" s="9"/>
      <c r="W5" s="9"/>
      <c r="X5" s="9"/>
      <c r="Y5" s="9"/>
      <c r="Z5" s="9"/>
      <c r="AA5" s="9"/>
      <c r="AB5" s="9"/>
      <c r="AC5" s="9"/>
      <c r="AD5" s="9"/>
    </row>
    <row r="6" spans="1:30" ht="14.25" customHeight="1" x14ac:dyDescent="0.3">
      <c r="A6" s="1"/>
      <c r="B6" s="5" t="s">
        <v>67</v>
      </c>
      <c r="C6" s="28" t="s">
        <v>210</v>
      </c>
      <c r="D6" s="28" t="s">
        <v>211</v>
      </c>
      <c r="E6" s="28" t="s">
        <v>212</v>
      </c>
      <c r="F6" s="28" t="s">
        <v>213</v>
      </c>
      <c r="G6" s="28" t="s">
        <v>214</v>
      </c>
      <c r="H6" s="9"/>
      <c r="I6" s="9"/>
      <c r="J6" s="9"/>
      <c r="K6" s="9"/>
      <c r="L6" s="9"/>
      <c r="M6" s="9"/>
      <c r="N6" s="9"/>
      <c r="O6" s="9"/>
      <c r="P6" s="9"/>
      <c r="Q6" s="9"/>
      <c r="R6" s="9"/>
      <c r="S6" s="9"/>
      <c r="T6" s="9"/>
      <c r="U6" s="9"/>
      <c r="V6" s="9"/>
      <c r="W6" s="9"/>
      <c r="X6" s="9"/>
      <c r="Y6" s="9"/>
      <c r="Z6" s="9"/>
      <c r="AA6" s="9"/>
      <c r="AB6" s="9"/>
      <c r="AC6" s="9"/>
      <c r="AD6" s="9"/>
    </row>
    <row r="7" spans="1:30" ht="14.25" customHeight="1" x14ac:dyDescent="0.3">
      <c r="A7" s="1"/>
      <c r="B7" s="1"/>
      <c r="C7" s="1"/>
      <c r="D7" s="1"/>
      <c r="E7" s="1"/>
      <c r="F7" s="1"/>
      <c r="G7" s="1"/>
      <c r="H7" s="9"/>
      <c r="I7" s="9"/>
      <c r="J7" s="9"/>
      <c r="K7" s="9"/>
      <c r="L7" s="9"/>
      <c r="M7" s="9"/>
      <c r="N7" s="9"/>
      <c r="O7" s="9"/>
      <c r="P7" s="9"/>
      <c r="Q7" s="9"/>
      <c r="R7" s="9"/>
      <c r="S7" s="9"/>
      <c r="T7" s="9"/>
      <c r="U7" s="9"/>
      <c r="V7" s="9"/>
      <c r="W7" s="9"/>
      <c r="X7" s="9"/>
      <c r="Y7" s="9"/>
      <c r="Z7" s="9"/>
      <c r="AA7" s="9"/>
      <c r="AB7" s="9"/>
      <c r="AC7" s="9"/>
      <c r="AD7" s="9"/>
    </row>
    <row r="8" spans="1:30" ht="14.25" customHeight="1" x14ac:dyDescent="0.3">
      <c r="A8" s="1"/>
      <c r="B8" t="s">
        <v>66</v>
      </c>
      <c r="C8" s="27">
        <f>Assumptions!C6*(1+Assumptions!C7)^1</f>
        <v>48300</v>
      </c>
      <c r="D8" s="27">
        <f>Assumptions!C6*(1+Assumptions!C7)^2</f>
        <v>50715</v>
      </c>
      <c r="E8" s="27">
        <f>Assumptions!C6*(1+Assumptions!C7)^3</f>
        <v>53250.750000000007</v>
      </c>
      <c r="F8" s="27">
        <f>Assumptions!C6*(1+Assumptions!C7)^4</f>
        <v>55913.287499999999</v>
      </c>
      <c r="G8" s="27">
        <f>Assumptions!C6*(1+Assumptions!C7)^5</f>
        <v>58708.951875000006</v>
      </c>
      <c r="H8" s="9"/>
      <c r="I8" s="9"/>
      <c r="J8" s="9"/>
      <c r="K8" s="9"/>
      <c r="L8" s="9"/>
      <c r="M8" s="9"/>
      <c r="N8" s="9"/>
      <c r="O8" s="9"/>
      <c r="P8" s="9"/>
      <c r="Q8" s="9"/>
      <c r="R8" s="9"/>
      <c r="S8" s="9"/>
      <c r="T8" s="9"/>
      <c r="U8" s="9"/>
      <c r="V8" s="9"/>
      <c r="W8" s="9"/>
      <c r="X8" s="9"/>
      <c r="Y8" s="9"/>
      <c r="Z8" s="9"/>
      <c r="AA8" s="9"/>
      <c r="AB8" s="9"/>
      <c r="AC8" s="9"/>
      <c r="AD8" s="9"/>
    </row>
    <row r="9" spans="1:30" ht="14.25" customHeight="1" x14ac:dyDescent="0.3">
      <c r="A9" s="1"/>
      <c r="B9" t="s">
        <v>216</v>
      </c>
      <c r="C9" s="27">
        <f>C8*Assumptions!C8</f>
        <v>12075</v>
      </c>
      <c r="D9" s="27">
        <f>D8*Assumptions!C8</f>
        <v>12678.75</v>
      </c>
      <c r="E9" s="27">
        <f>E8*Assumptions!C8</f>
        <v>13312.687500000002</v>
      </c>
      <c r="F9" s="27">
        <f>F8*Assumptions!C8</f>
        <v>13978.321875</v>
      </c>
      <c r="G9" s="27">
        <f>G8*Assumptions!C8</f>
        <v>14677.237968750002</v>
      </c>
      <c r="H9" s="9"/>
      <c r="I9" s="9"/>
      <c r="J9" s="9"/>
      <c r="K9" s="9"/>
      <c r="L9" s="9"/>
      <c r="M9" s="9"/>
      <c r="N9" s="9"/>
      <c r="O9" s="9"/>
      <c r="P9" s="9"/>
      <c r="Q9" s="9"/>
      <c r="R9" s="9"/>
      <c r="S9" s="9"/>
      <c r="T9" s="9"/>
      <c r="U9" s="9"/>
      <c r="V9" s="9"/>
      <c r="W9" s="9"/>
      <c r="X9" s="9"/>
      <c r="Y9" s="9"/>
      <c r="Z9" s="9"/>
      <c r="AA9" s="9"/>
      <c r="AB9" s="9"/>
      <c r="AC9" s="9"/>
      <c r="AD9" s="9"/>
    </row>
    <row r="10" spans="1:30" ht="14.25" customHeight="1" x14ac:dyDescent="0.3">
      <c r="A10" s="1"/>
      <c r="B10" s="35" t="s">
        <v>217</v>
      </c>
      <c r="C10" s="27">
        <f>C8*Assumptions!C9</f>
        <v>1932</v>
      </c>
      <c r="D10" s="27">
        <f>D8*Assumptions!C9</f>
        <v>2028.6000000000001</v>
      </c>
      <c r="E10" s="27">
        <f>E8*Assumptions!C9</f>
        <v>2130.0300000000002</v>
      </c>
      <c r="F10" s="27">
        <f>F8*Assumptions!C9</f>
        <v>2236.5315000000001</v>
      </c>
      <c r="G10" s="27">
        <f>G8*Assumptions!C9</f>
        <v>2348.3580750000001</v>
      </c>
      <c r="H10" s="9"/>
      <c r="I10" s="9"/>
      <c r="J10" s="9"/>
      <c r="K10" s="9"/>
      <c r="L10" s="9"/>
      <c r="M10" s="9"/>
      <c r="N10" s="9"/>
      <c r="O10" s="9"/>
      <c r="P10" s="9"/>
      <c r="Q10" s="9"/>
      <c r="R10" s="9"/>
      <c r="S10" s="9"/>
      <c r="T10" s="9"/>
      <c r="U10" s="9"/>
      <c r="V10" s="9"/>
      <c r="W10" s="9"/>
      <c r="X10" s="9"/>
      <c r="Y10" s="9"/>
      <c r="Z10" s="9"/>
      <c r="AA10" s="9"/>
      <c r="AB10" s="9"/>
      <c r="AC10" s="9"/>
      <c r="AD10" s="9"/>
    </row>
    <row r="11" spans="1:30" ht="14.25" customHeight="1" x14ac:dyDescent="0.3">
      <c r="A11" s="1"/>
      <c r="B11" s="36" t="s">
        <v>285</v>
      </c>
      <c r="C11" s="37">
        <f>C9-C10</f>
        <v>10143</v>
      </c>
      <c r="D11" s="37">
        <f>D9-D10</f>
        <v>10650.15</v>
      </c>
      <c r="E11" s="37">
        <f>E9-E10</f>
        <v>11182.657500000001</v>
      </c>
      <c r="F11" s="37">
        <f>F9-F10</f>
        <v>11741.790375</v>
      </c>
      <c r="G11" s="37">
        <f>G9-G10</f>
        <v>12328.879893750001</v>
      </c>
      <c r="H11" s="9"/>
      <c r="I11" s="9"/>
      <c r="J11" s="9"/>
      <c r="K11" s="9"/>
      <c r="L11" s="9"/>
      <c r="M11" s="9"/>
      <c r="N11" s="9"/>
      <c r="O11" s="9"/>
      <c r="P11" s="9"/>
      <c r="Q11" s="9"/>
      <c r="R11" s="9"/>
      <c r="S11" s="9"/>
      <c r="T11" s="9"/>
      <c r="U11" s="9"/>
      <c r="V11" s="9"/>
      <c r="W11" s="9"/>
      <c r="X11" s="9"/>
      <c r="Y11" s="9"/>
      <c r="Z11" s="9"/>
      <c r="AA11" s="9"/>
      <c r="AB11" s="9"/>
      <c r="AC11" s="9"/>
      <c r="AD11" s="9"/>
    </row>
    <row r="12" spans="1:30" ht="14.25" customHeight="1" x14ac:dyDescent="0.3">
      <c r="A12" s="1"/>
      <c r="B12" s="1"/>
      <c r="C12" s="1"/>
      <c r="D12" s="1"/>
      <c r="E12" s="1"/>
      <c r="F12" s="1"/>
      <c r="G12" s="1"/>
      <c r="H12" s="9"/>
      <c r="I12" s="9"/>
      <c r="J12" s="9"/>
      <c r="K12" s="9"/>
      <c r="L12" s="9"/>
      <c r="M12" s="9"/>
      <c r="N12" s="9"/>
      <c r="O12" s="9"/>
      <c r="P12" s="9"/>
      <c r="Q12" s="9"/>
      <c r="R12" s="9"/>
      <c r="S12" s="9"/>
      <c r="T12" s="9"/>
      <c r="U12" s="9"/>
      <c r="V12" s="9"/>
      <c r="W12" s="9"/>
      <c r="X12" s="9"/>
      <c r="Y12" s="9"/>
      <c r="Z12" s="9"/>
      <c r="AA12" s="9"/>
      <c r="AB12" s="9"/>
      <c r="AC12" s="9"/>
      <c r="AD12" s="9"/>
    </row>
    <row r="13" spans="1:30" ht="14.25" customHeight="1" x14ac:dyDescent="0.3">
      <c r="A13" s="1"/>
      <c r="B13" s="1"/>
      <c r="C13" s="1"/>
      <c r="D13" s="1"/>
      <c r="E13" s="1"/>
      <c r="F13" s="1"/>
      <c r="G13" s="1"/>
      <c r="H13" s="9"/>
      <c r="I13" s="9"/>
      <c r="J13" s="9"/>
      <c r="K13" s="9"/>
      <c r="L13" s="9"/>
      <c r="M13" s="9"/>
      <c r="N13" s="9"/>
      <c r="O13" s="9"/>
      <c r="P13" s="9"/>
      <c r="Q13" s="9"/>
      <c r="R13" s="9"/>
      <c r="S13" s="9"/>
      <c r="T13" s="9"/>
      <c r="U13" s="9"/>
      <c r="V13" s="9"/>
      <c r="W13" s="9"/>
      <c r="X13" s="9"/>
      <c r="Y13" s="9"/>
      <c r="Z13" s="9"/>
      <c r="AA13" s="9"/>
      <c r="AB13" s="9"/>
      <c r="AC13" s="9"/>
      <c r="AD13" s="9"/>
    </row>
    <row r="14" spans="1:30" ht="14.25" customHeight="1" x14ac:dyDescent="0.3">
      <c r="A14" s="1"/>
      <c r="B14" s="58" t="s">
        <v>73</v>
      </c>
      <c r="C14" s="27">
        <f>Credit_Metrics!C18</f>
        <v>200</v>
      </c>
      <c r="D14" s="27">
        <f>Credit_Metrics!D18</f>
        <v>190</v>
      </c>
      <c r="E14" s="27">
        <f>Credit_Metrics!E18</f>
        <v>180.5</v>
      </c>
      <c r="F14" s="27">
        <f>Credit_Metrics!F18</f>
        <v>171.47499999999999</v>
      </c>
      <c r="G14" s="27">
        <f>Credit_Metrics!G18</f>
        <v>162.90125</v>
      </c>
      <c r="H14" s="9"/>
      <c r="I14" s="9"/>
      <c r="J14" s="9"/>
      <c r="K14" s="9"/>
      <c r="L14" s="9"/>
      <c r="M14" s="9"/>
      <c r="N14" s="9"/>
      <c r="O14" s="9"/>
      <c r="P14" s="9"/>
      <c r="Q14" s="9"/>
      <c r="R14" s="9"/>
      <c r="S14" s="9"/>
      <c r="T14" s="9"/>
      <c r="U14" s="9"/>
      <c r="V14" s="9"/>
      <c r="W14" s="9"/>
      <c r="X14" s="9"/>
      <c r="Y14" s="9"/>
      <c r="Z14" s="9"/>
      <c r="AA14" s="9"/>
      <c r="AB14" s="9"/>
      <c r="AC14" s="9"/>
      <c r="AD14" s="9"/>
    </row>
    <row r="15" spans="1:30" ht="14.25" customHeight="1" x14ac:dyDescent="0.3">
      <c r="A15" s="1"/>
      <c r="B15" s="1"/>
      <c r="C15" s="1"/>
      <c r="D15" s="1"/>
      <c r="E15" s="1"/>
      <c r="F15" s="1"/>
      <c r="G15" s="1"/>
      <c r="H15" s="9"/>
      <c r="I15" s="9"/>
      <c r="J15" s="9"/>
      <c r="K15" s="9"/>
      <c r="L15" s="9"/>
      <c r="M15" s="9"/>
      <c r="N15" s="9"/>
      <c r="O15" s="9"/>
      <c r="P15" s="9"/>
      <c r="Q15" s="9"/>
      <c r="R15" s="9"/>
      <c r="S15" s="9"/>
      <c r="T15" s="9"/>
      <c r="U15" s="9"/>
      <c r="V15" s="9"/>
      <c r="W15" s="9"/>
      <c r="X15" s="9"/>
      <c r="Y15" s="9"/>
      <c r="Z15" s="9"/>
      <c r="AA15" s="9"/>
      <c r="AB15" s="9"/>
      <c r="AC15" s="9"/>
      <c r="AD15" s="9"/>
    </row>
    <row r="16" spans="1:30" ht="14.25" customHeight="1" x14ac:dyDescent="0.3">
      <c r="A16" s="1"/>
      <c r="B16" s="36" t="s">
        <v>286</v>
      </c>
      <c r="C16" s="37">
        <f>C11-C14</f>
        <v>9943</v>
      </c>
      <c r="D16" s="37">
        <f>D11-D14</f>
        <v>10460.15</v>
      </c>
      <c r="E16" s="37">
        <f>E11-E14</f>
        <v>11002.157500000001</v>
      </c>
      <c r="F16" s="37">
        <f>F11-F14</f>
        <v>11570.315375</v>
      </c>
      <c r="G16" s="37">
        <f>G11-G14</f>
        <v>12165.978643750001</v>
      </c>
      <c r="H16" s="9"/>
      <c r="I16" s="9"/>
      <c r="J16" s="9"/>
      <c r="K16" s="9"/>
      <c r="L16" s="9"/>
      <c r="M16" s="9"/>
      <c r="N16" s="9"/>
      <c r="O16" s="9"/>
      <c r="P16" s="9"/>
      <c r="Q16" s="9"/>
      <c r="R16" s="9"/>
      <c r="S16" s="9"/>
      <c r="T16" s="9"/>
      <c r="U16" s="9"/>
      <c r="V16" s="9"/>
      <c r="W16" s="9"/>
      <c r="X16" s="9"/>
      <c r="Y16" s="9"/>
      <c r="Z16" s="9"/>
      <c r="AA16" s="9"/>
      <c r="AB16" s="9"/>
      <c r="AC16" s="9"/>
      <c r="AD16" s="9"/>
    </row>
    <row r="17" spans="1:30" ht="14.25" customHeight="1" x14ac:dyDescent="0.3">
      <c r="A17" s="1"/>
      <c r="B17" s="35" t="s">
        <v>241</v>
      </c>
      <c r="C17" s="27">
        <f>C16*Assumptions!C12</f>
        <v>2485.75</v>
      </c>
      <c r="D17" s="27">
        <f>D16*Assumptions!C12</f>
        <v>2615.0374999999999</v>
      </c>
      <c r="E17" s="27">
        <f>E16*Assumptions!C12</f>
        <v>2750.5393750000003</v>
      </c>
      <c r="F17" s="27">
        <f>F16*Assumptions!C12</f>
        <v>2892.57884375</v>
      </c>
      <c r="G17" s="27">
        <f>G16*Assumptions!C12</f>
        <v>3041.4946609375002</v>
      </c>
      <c r="H17" s="9"/>
      <c r="I17" s="9"/>
      <c r="J17" s="9"/>
      <c r="K17" s="9"/>
      <c r="L17" s="9"/>
      <c r="M17" s="9"/>
      <c r="N17" s="9"/>
      <c r="O17" s="9"/>
      <c r="P17" s="9"/>
      <c r="Q17" s="9"/>
      <c r="R17" s="9"/>
      <c r="S17" s="9"/>
      <c r="T17" s="9"/>
      <c r="U17" s="9"/>
      <c r="V17" s="9"/>
      <c r="W17" s="9"/>
      <c r="X17" s="9"/>
      <c r="Y17" s="9"/>
      <c r="Z17" s="9"/>
      <c r="AA17" s="9"/>
      <c r="AB17" s="9"/>
      <c r="AC17" s="9"/>
      <c r="AD17" s="9"/>
    </row>
    <row r="18" spans="1:30" ht="14.25" customHeight="1" x14ac:dyDescent="0.3">
      <c r="A18" s="1"/>
      <c r="B18" s="1"/>
      <c r="C18" s="1"/>
      <c r="D18" s="1"/>
      <c r="E18" s="1"/>
      <c r="F18" s="1"/>
      <c r="G18" s="1"/>
      <c r="H18" s="9"/>
      <c r="I18" s="9"/>
      <c r="J18" s="9"/>
      <c r="K18" s="9"/>
      <c r="L18" s="9"/>
      <c r="M18" s="9"/>
      <c r="N18" s="9"/>
      <c r="O18" s="9"/>
      <c r="P18" s="9"/>
      <c r="Q18" s="9"/>
      <c r="R18" s="9"/>
      <c r="S18" s="9"/>
      <c r="T18" s="9"/>
      <c r="U18" s="9"/>
      <c r="V18" s="9"/>
      <c r="W18" s="9"/>
      <c r="X18" s="9"/>
      <c r="Y18" s="9"/>
      <c r="Z18" s="9"/>
      <c r="AA18" s="9"/>
      <c r="AB18" s="9"/>
      <c r="AC18" s="9"/>
      <c r="AD18" s="9"/>
    </row>
    <row r="19" spans="1:30" ht="14.25" customHeight="1" x14ac:dyDescent="0.3">
      <c r="A19" s="1"/>
      <c r="B19" s="29" t="s">
        <v>287</v>
      </c>
      <c r="C19" s="30">
        <f>C16-C17</f>
        <v>7457.25</v>
      </c>
      <c r="D19" s="30">
        <f>D16-D17</f>
        <v>7845.1124999999993</v>
      </c>
      <c r="E19" s="30">
        <f>E16-E17</f>
        <v>8251.6181250000009</v>
      </c>
      <c r="F19" s="30">
        <f>F16-F17</f>
        <v>8677.7365312500006</v>
      </c>
      <c r="G19" s="30">
        <f>G16-G17</f>
        <v>9124.4839828125005</v>
      </c>
      <c r="H19" s="9"/>
      <c r="I19" s="9"/>
      <c r="J19" s="9"/>
      <c r="K19" s="9"/>
      <c r="L19" s="9"/>
      <c r="M19" s="9"/>
      <c r="N19" s="9"/>
      <c r="O19" s="9"/>
      <c r="P19" s="9"/>
      <c r="Q19" s="9"/>
      <c r="R19" s="9"/>
      <c r="S19" s="9"/>
      <c r="T19" s="9"/>
      <c r="U19" s="9"/>
      <c r="V19" s="9"/>
      <c r="W19" s="9"/>
      <c r="X19" s="9"/>
      <c r="Y19" s="9"/>
      <c r="Z19" s="9"/>
      <c r="AA19" s="9"/>
      <c r="AB19" s="9"/>
      <c r="AC19" s="9"/>
      <c r="AD19" s="9"/>
    </row>
    <row r="20" spans="1:30" ht="14.25" customHeight="1" x14ac:dyDescent="0.3">
      <c r="A20" s="1"/>
      <c r="B20" s="1"/>
      <c r="C20" s="1"/>
      <c r="D20" s="1"/>
      <c r="E20" s="1"/>
      <c r="F20" s="1"/>
      <c r="G20" s="1"/>
      <c r="H20" s="9"/>
      <c r="I20" s="9"/>
      <c r="J20" s="9"/>
      <c r="K20" s="9"/>
      <c r="L20" s="9"/>
      <c r="M20" s="9"/>
      <c r="N20" s="9"/>
      <c r="O20" s="9"/>
      <c r="P20" s="9"/>
      <c r="Q20" s="9"/>
      <c r="R20" s="9"/>
      <c r="S20" s="9"/>
      <c r="T20" s="9"/>
      <c r="U20" s="9"/>
      <c r="V20" s="9"/>
      <c r="W20" s="9"/>
      <c r="X20" s="9"/>
      <c r="Y20" s="9"/>
      <c r="Z20" s="9"/>
      <c r="AA20" s="9"/>
      <c r="AB20" s="9"/>
      <c r="AC20" s="9"/>
      <c r="AD20" s="9"/>
    </row>
    <row r="21" spans="1:30" ht="14.25" customHeight="1" x14ac:dyDescent="0.3">
      <c r="A21" s="1"/>
      <c r="B21" t="s">
        <v>46</v>
      </c>
      <c r="C21" s="15">
        <f>C19/Assumptions!C14</f>
        <v>22.597727272727273</v>
      </c>
      <c r="D21" s="15">
        <f>D19/Assumptions!C14</f>
        <v>23.773068181818179</v>
      </c>
      <c r="E21" s="15">
        <f>E19/Assumptions!C14</f>
        <v>25.004903409090911</v>
      </c>
      <c r="F21" s="15">
        <f>F19/Assumptions!C14</f>
        <v>26.296171306818184</v>
      </c>
      <c r="G21" s="15">
        <f>G19/Assumptions!C14</f>
        <v>27.649951463068184</v>
      </c>
      <c r="H21" s="9"/>
      <c r="I21" s="9"/>
      <c r="J21" s="9"/>
      <c r="K21" s="9"/>
      <c r="L21" s="9"/>
      <c r="M21" s="9"/>
      <c r="N21" s="9"/>
      <c r="O21" s="9"/>
      <c r="P21" s="9"/>
      <c r="Q21" s="9"/>
      <c r="R21" s="9"/>
      <c r="S21" s="9"/>
      <c r="T21" s="9"/>
      <c r="U21" s="9"/>
      <c r="V21" s="9"/>
      <c r="W21" s="9"/>
      <c r="X21" s="9"/>
      <c r="Y21" s="9"/>
      <c r="Z21" s="9"/>
      <c r="AA21" s="9"/>
      <c r="AB21" s="9"/>
      <c r="AC21" s="9"/>
      <c r="AD21" s="9"/>
    </row>
  </sheetData>
  <pageMargins left="0.75" right="0.75" top="1" bottom="1" header="0.511811023622047" footer="0.511811023622047"/>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AD47"/>
  </sheetPr>
  <dimension ref="A1:AD46"/>
  <sheetViews>
    <sheetView showGridLines="0" zoomScaleNormal="100" workbookViewId="0">
      <selection activeCell="T1" sqref="T1:AD3"/>
    </sheetView>
  </sheetViews>
  <sheetFormatPr defaultColWidth="8.59765625" defaultRowHeight="13.8" x14ac:dyDescent="0.25"/>
  <cols>
    <col min="1" max="1" width="1.8984375" customWidth="1"/>
    <col min="2" max="2" width="32" customWidth="1"/>
    <col min="3" max="7" width="16" customWidth="1"/>
  </cols>
  <sheetData>
    <row r="1" spans="1:30" ht="14.25" customHeight="1" x14ac:dyDescent="0.3">
      <c r="A1" s="86"/>
      <c r="B1" s="86"/>
      <c r="C1" s="86"/>
      <c r="D1" s="86"/>
      <c r="E1" s="86"/>
      <c r="F1" s="86"/>
      <c r="G1" s="86"/>
      <c r="H1" s="87"/>
      <c r="I1" s="87"/>
      <c r="J1" s="87"/>
      <c r="K1" s="87"/>
      <c r="L1" s="87"/>
      <c r="M1" s="87"/>
      <c r="N1" s="87"/>
      <c r="O1" s="87"/>
      <c r="P1" s="87"/>
      <c r="Q1" s="87"/>
      <c r="R1" s="87"/>
      <c r="S1" s="87"/>
      <c r="T1" s="85"/>
      <c r="U1" s="85"/>
      <c r="V1" s="85"/>
      <c r="W1" s="85"/>
      <c r="X1" s="85"/>
      <c r="Y1" s="85"/>
      <c r="Z1" s="85"/>
      <c r="AA1" s="85"/>
      <c r="AB1" s="85"/>
      <c r="AC1" s="85"/>
      <c r="AD1" s="85"/>
    </row>
    <row r="2" spans="1:30" ht="21.75" customHeight="1" x14ac:dyDescent="0.4">
      <c r="A2" s="86"/>
      <c r="B2" s="88" t="s">
        <v>288</v>
      </c>
      <c r="C2" s="86"/>
      <c r="D2" s="86"/>
      <c r="E2" s="86"/>
      <c r="F2" s="86"/>
      <c r="G2" s="86"/>
      <c r="H2" s="87"/>
      <c r="I2" s="87"/>
      <c r="J2" s="87"/>
      <c r="K2" s="87"/>
      <c r="L2" s="87"/>
      <c r="M2" s="87"/>
      <c r="N2" s="87"/>
      <c r="O2" s="87"/>
      <c r="P2" s="87"/>
      <c r="Q2" s="87"/>
      <c r="R2" s="87"/>
      <c r="S2" s="87"/>
      <c r="T2" s="85"/>
      <c r="U2" s="85"/>
      <c r="V2" s="85"/>
      <c r="W2" s="85"/>
      <c r="X2" s="85"/>
      <c r="Y2" s="85"/>
      <c r="Z2" s="85"/>
      <c r="AA2" s="85"/>
      <c r="AB2" s="85"/>
      <c r="AC2" s="85"/>
      <c r="AD2" s="85"/>
    </row>
    <row r="3" spans="1:30" ht="14.25" customHeight="1" x14ac:dyDescent="0.3">
      <c r="A3" s="86"/>
      <c r="B3" s="90" t="s">
        <v>289</v>
      </c>
      <c r="C3" s="86"/>
      <c r="D3" s="86"/>
      <c r="E3" s="86"/>
      <c r="F3" s="86"/>
      <c r="G3" s="86"/>
      <c r="H3" s="87"/>
      <c r="I3" s="87"/>
      <c r="J3" s="87"/>
      <c r="K3" s="87"/>
      <c r="L3" s="87"/>
      <c r="M3" s="87"/>
      <c r="N3" s="87"/>
      <c r="O3" s="87"/>
      <c r="P3" s="87"/>
      <c r="Q3" s="87"/>
      <c r="R3" s="87"/>
      <c r="S3" s="87"/>
      <c r="T3" s="85"/>
      <c r="U3" s="85"/>
      <c r="V3" s="85"/>
      <c r="W3" s="85"/>
      <c r="X3" s="85"/>
      <c r="Y3" s="85"/>
      <c r="Z3" s="85"/>
      <c r="AA3" s="85"/>
      <c r="AB3" s="85"/>
      <c r="AC3" s="85"/>
      <c r="AD3" s="85"/>
    </row>
    <row r="4" spans="1:30" ht="14.25" customHeight="1" x14ac:dyDescent="0.3">
      <c r="A4" s="1"/>
      <c r="B4" s="1"/>
      <c r="C4" s="1"/>
      <c r="D4" s="1"/>
      <c r="E4" s="1"/>
      <c r="F4" s="1"/>
      <c r="G4" s="1"/>
      <c r="H4" s="9"/>
      <c r="I4" s="9"/>
      <c r="J4" s="9"/>
      <c r="K4" s="9"/>
      <c r="L4" s="9"/>
      <c r="M4" s="9"/>
      <c r="N4" s="9"/>
      <c r="O4" s="9"/>
      <c r="P4" s="9"/>
      <c r="Q4" s="9"/>
      <c r="R4" s="9"/>
      <c r="S4" s="9"/>
      <c r="T4" s="9"/>
      <c r="U4" s="9"/>
      <c r="V4" s="9"/>
      <c r="W4" s="9"/>
      <c r="X4" s="9"/>
      <c r="Y4" s="9"/>
      <c r="Z4" s="9"/>
      <c r="AA4" s="9"/>
      <c r="AB4" s="9"/>
      <c r="AC4" s="9"/>
      <c r="AD4" s="9"/>
    </row>
    <row r="5" spans="1:30" ht="14.25" customHeight="1" x14ac:dyDescent="0.3">
      <c r="A5" s="1"/>
      <c r="B5" s="1"/>
      <c r="C5" s="1"/>
      <c r="D5" s="1"/>
      <c r="E5" s="1"/>
      <c r="F5" s="1"/>
      <c r="G5" s="1"/>
      <c r="H5" s="9"/>
      <c r="I5" s="9"/>
      <c r="J5" s="9"/>
      <c r="K5" s="9"/>
      <c r="L5" s="9"/>
      <c r="M5" s="9"/>
      <c r="N5" s="9"/>
      <c r="O5" s="9"/>
      <c r="P5" s="9"/>
      <c r="Q5" s="9"/>
      <c r="R5" s="9"/>
      <c r="S5" s="9"/>
      <c r="T5" s="9"/>
      <c r="U5" s="9"/>
      <c r="V5" s="9"/>
      <c r="W5" s="9"/>
      <c r="X5" s="9"/>
      <c r="Y5" s="9"/>
      <c r="Z5" s="9"/>
      <c r="AA5" s="9"/>
      <c r="AB5" s="9"/>
      <c r="AC5" s="9"/>
      <c r="AD5" s="9"/>
    </row>
    <row r="6" spans="1:30" ht="14.25" customHeight="1" x14ac:dyDescent="0.3">
      <c r="A6" s="1"/>
      <c r="B6" s="5"/>
      <c r="C6" s="28" t="s">
        <v>210</v>
      </c>
      <c r="D6" s="28" t="s">
        <v>211</v>
      </c>
      <c r="E6" s="28" t="s">
        <v>212</v>
      </c>
      <c r="F6" s="28" t="s">
        <v>213</v>
      </c>
      <c r="G6" s="28" t="s">
        <v>214</v>
      </c>
      <c r="H6" s="9"/>
      <c r="I6" s="9"/>
      <c r="J6" s="9"/>
      <c r="K6" s="9"/>
      <c r="L6" s="9"/>
      <c r="M6" s="9"/>
      <c r="N6" s="9"/>
      <c r="O6" s="9"/>
      <c r="P6" s="9"/>
      <c r="Q6" s="9"/>
      <c r="R6" s="9"/>
      <c r="S6" s="9"/>
      <c r="T6" s="9"/>
      <c r="U6" s="9"/>
      <c r="V6" s="9"/>
      <c r="W6" s="9"/>
      <c r="X6" s="9"/>
      <c r="Y6" s="9"/>
      <c r="Z6" s="9"/>
      <c r="AA6" s="9"/>
      <c r="AB6" s="9"/>
      <c r="AC6" s="9"/>
      <c r="AD6" s="9"/>
    </row>
    <row r="7" spans="1:30" ht="14.25" customHeight="1" x14ac:dyDescent="0.3">
      <c r="A7" s="1"/>
      <c r="B7" s="3" t="s">
        <v>290</v>
      </c>
      <c r="C7" s="34"/>
      <c r="D7" s="34"/>
      <c r="E7" s="34"/>
      <c r="F7" s="34"/>
      <c r="G7" s="34"/>
      <c r="H7" s="9"/>
      <c r="I7" s="9"/>
      <c r="J7" s="9"/>
      <c r="K7" s="9"/>
      <c r="L7" s="9"/>
      <c r="M7" s="9"/>
      <c r="N7" s="9"/>
      <c r="O7" s="9"/>
      <c r="P7" s="9"/>
      <c r="Q7" s="9"/>
      <c r="R7" s="9"/>
      <c r="S7" s="9"/>
      <c r="T7" s="9"/>
      <c r="U7" s="9"/>
      <c r="V7" s="9"/>
      <c r="W7" s="9"/>
      <c r="X7" s="9"/>
      <c r="Y7" s="9"/>
      <c r="Z7" s="9"/>
      <c r="AA7" s="9"/>
      <c r="AB7" s="9"/>
      <c r="AC7" s="9"/>
      <c r="AD7" s="9"/>
    </row>
    <row r="8" spans="1:30" ht="14.25" customHeight="1" x14ac:dyDescent="0.3">
      <c r="A8" s="1"/>
      <c r="B8" t="s">
        <v>46</v>
      </c>
      <c r="C8" s="39">
        <f>Standalone_IS!C21</f>
        <v>22.597727272727273</v>
      </c>
      <c r="D8" s="39">
        <f>Standalone_IS!D21</f>
        <v>23.773068181818179</v>
      </c>
      <c r="E8" s="39">
        <f>Standalone_IS!E21</f>
        <v>25.004903409090911</v>
      </c>
      <c r="F8" s="39">
        <f>Standalone_IS!F21</f>
        <v>26.296171306818184</v>
      </c>
      <c r="G8" s="39">
        <f>Standalone_IS!G21</f>
        <v>27.649951463068184</v>
      </c>
      <c r="H8" s="9"/>
      <c r="I8" s="9"/>
      <c r="J8" s="9"/>
      <c r="K8" s="9"/>
      <c r="L8" s="9"/>
      <c r="M8" s="9"/>
      <c r="N8" s="9"/>
      <c r="O8" s="9"/>
      <c r="P8" s="9"/>
      <c r="Q8" s="9"/>
      <c r="R8" s="9"/>
      <c r="S8" s="9"/>
      <c r="T8" s="9"/>
      <c r="U8" s="9"/>
      <c r="V8" s="9"/>
      <c r="W8" s="9"/>
      <c r="X8" s="9"/>
      <c r="Y8" s="9"/>
      <c r="Z8" s="9"/>
      <c r="AA8" s="9"/>
      <c r="AB8" s="9"/>
      <c r="AC8" s="9"/>
      <c r="AD8" s="9"/>
    </row>
    <row r="9" spans="1:30" ht="14.25" customHeight="1" x14ac:dyDescent="0.3">
      <c r="A9" s="1"/>
      <c r="B9" t="s">
        <v>47</v>
      </c>
      <c r="C9" s="39">
        <f>Pro_Forma_IS!C50</f>
        <v>22.198355744406189</v>
      </c>
      <c r="D9" s="39">
        <f>Pro_Forma_IS!D50</f>
        <v>23.678070051635114</v>
      </c>
      <c r="E9" s="39">
        <f>Pro_Forma_IS!E50</f>
        <v>25.241309093803796</v>
      </c>
      <c r="F9" s="39">
        <f>Pro_Forma_IS!F50</f>
        <v>26.644302684797754</v>
      </c>
      <c r="G9" s="39">
        <f>Pro_Forma_IS!G50</f>
        <v>28.003138542626981</v>
      </c>
      <c r="H9" s="9"/>
      <c r="I9" s="9"/>
      <c r="J9" s="9"/>
      <c r="K9" s="9"/>
      <c r="L9" s="9"/>
      <c r="M9" s="9"/>
      <c r="N9" s="9"/>
      <c r="O9" s="9"/>
      <c r="P9" s="9"/>
      <c r="Q9" s="9"/>
      <c r="R9" s="9"/>
      <c r="S9" s="9"/>
      <c r="T9" s="9"/>
      <c r="U9" s="9"/>
      <c r="V9" s="9"/>
      <c r="W9" s="9"/>
      <c r="X9" s="9"/>
      <c r="Y9" s="9"/>
      <c r="Z9" s="9"/>
      <c r="AA9" s="9"/>
      <c r="AB9" s="9"/>
      <c r="AC9" s="9"/>
      <c r="AD9" s="9"/>
    </row>
    <row r="10" spans="1:30" ht="14.25" customHeight="1" x14ac:dyDescent="0.3">
      <c r="A10" s="1"/>
      <c r="B10" s="1"/>
      <c r="C10" s="1"/>
      <c r="D10" s="1"/>
      <c r="E10" s="1"/>
      <c r="F10" s="1"/>
      <c r="G10" s="1"/>
      <c r="H10" s="9"/>
      <c r="I10" s="9"/>
      <c r="J10" s="9"/>
      <c r="K10" s="9"/>
      <c r="L10" s="9"/>
      <c r="M10" s="9"/>
      <c r="N10" s="9"/>
      <c r="O10" s="9"/>
      <c r="P10" s="9"/>
      <c r="Q10" s="9"/>
      <c r="R10" s="9"/>
      <c r="S10" s="9"/>
      <c r="T10" s="9"/>
      <c r="U10" s="9"/>
      <c r="V10" s="9"/>
      <c r="W10" s="9"/>
      <c r="X10" s="9"/>
      <c r="Y10" s="9"/>
      <c r="Z10" s="9"/>
      <c r="AA10" s="9"/>
      <c r="AB10" s="9"/>
      <c r="AC10" s="9"/>
      <c r="AD10" s="9"/>
    </row>
    <row r="11" spans="1:30" ht="14.25" customHeight="1" x14ac:dyDescent="0.3">
      <c r="A11" s="1"/>
      <c r="B11" s="36" t="s">
        <v>291</v>
      </c>
      <c r="C11" s="40">
        <f>C9-C8</f>
        <v>-0.39937152832108325</v>
      </c>
      <c r="D11" s="40">
        <f>D9-D8</f>
        <v>-9.4998130183064688E-2</v>
      </c>
      <c r="E11" s="40">
        <f>E9-E8</f>
        <v>0.23640568471288503</v>
      </c>
      <c r="F11" s="40">
        <f>F9-F8</f>
        <v>0.34813137797956983</v>
      </c>
      <c r="G11" s="40">
        <f>G9-G8</f>
        <v>0.35318707955879702</v>
      </c>
      <c r="H11" s="9"/>
      <c r="I11" s="9"/>
      <c r="J11" s="9"/>
      <c r="K11" s="9"/>
      <c r="L11" s="9"/>
      <c r="M11" s="9"/>
      <c r="N11" s="9"/>
      <c r="O11" s="9"/>
      <c r="P11" s="9"/>
      <c r="Q11" s="9"/>
      <c r="R11" s="9"/>
      <c r="S11" s="9"/>
      <c r="T11" s="9"/>
      <c r="U11" s="9"/>
      <c r="V11" s="9"/>
      <c r="W11" s="9"/>
      <c r="X11" s="9"/>
      <c r="Y11" s="9"/>
      <c r="Z11" s="9"/>
      <c r="AA11" s="9"/>
      <c r="AB11" s="9"/>
      <c r="AC11" s="9"/>
      <c r="AD11" s="9"/>
    </row>
    <row r="12" spans="1:30" ht="14.25" customHeight="1" x14ac:dyDescent="0.3">
      <c r="A12" s="1"/>
      <c r="B12" t="s">
        <v>48</v>
      </c>
      <c r="C12" s="41">
        <f>IF(C8=0,0,C11/C8)</f>
        <v>-1.7673083823924029E-2</v>
      </c>
      <c r="D12" s="41">
        <f>IF(D8=0,0,D11/D8)</f>
        <v>-3.9960399497663487E-3</v>
      </c>
      <c r="E12" s="41">
        <f>IF(E8=0,0,E11/E8)</f>
        <v>9.4543730421664477E-3</v>
      </c>
      <c r="F12" s="41">
        <f>IF(F8=0,0,F11/F8)</f>
        <v>1.3238861806825271E-2</v>
      </c>
      <c r="G12" s="41">
        <f>IF(G8=0,0,G11/G8)</f>
        <v>1.2773515354287191E-2</v>
      </c>
      <c r="H12" s="9"/>
      <c r="I12" s="9"/>
      <c r="J12" s="9"/>
      <c r="K12" s="9"/>
      <c r="L12" s="9"/>
      <c r="M12" s="9"/>
      <c r="N12" s="9"/>
      <c r="O12" s="9"/>
      <c r="P12" s="9"/>
      <c r="Q12" s="9"/>
      <c r="R12" s="9"/>
      <c r="S12" s="9"/>
      <c r="T12" s="9"/>
      <c r="U12" s="9"/>
      <c r="V12" s="9"/>
      <c r="W12" s="9"/>
      <c r="X12" s="9"/>
      <c r="Y12" s="9"/>
      <c r="Z12" s="9"/>
      <c r="AA12" s="9"/>
      <c r="AB12" s="9"/>
      <c r="AC12" s="9"/>
      <c r="AD12" s="9"/>
    </row>
    <row r="13" spans="1:30" ht="14.25" customHeight="1" x14ac:dyDescent="0.3">
      <c r="A13" s="1"/>
      <c r="B13" s="1"/>
      <c r="C13" s="1"/>
      <c r="D13" s="1"/>
      <c r="E13" s="1"/>
      <c r="F13" s="1"/>
      <c r="G13" s="1"/>
      <c r="H13" s="9"/>
      <c r="I13" s="9"/>
      <c r="J13" s="9"/>
      <c r="K13" s="9"/>
      <c r="L13" s="9"/>
      <c r="M13" s="9"/>
      <c r="N13" s="9"/>
      <c r="O13" s="9"/>
      <c r="P13" s="9"/>
      <c r="Q13" s="9"/>
      <c r="R13" s="9"/>
      <c r="S13" s="9"/>
      <c r="T13" s="9"/>
      <c r="U13" s="9"/>
      <c r="V13" s="9"/>
      <c r="W13" s="9"/>
      <c r="X13" s="9"/>
      <c r="Y13" s="9"/>
      <c r="Z13" s="9"/>
      <c r="AA13" s="9"/>
      <c r="AB13" s="9"/>
      <c r="AC13" s="9"/>
      <c r="AD13" s="9"/>
    </row>
    <row r="14" spans="1:30" ht="14.25" customHeight="1" x14ac:dyDescent="0.3">
      <c r="A14" s="1"/>
      <c r="B14" s="3" t="s">
        <v>292</v>
      </c>
      <c r="C14" s="34"/>
      <c r="D14" s="34"/>
      <c r="E14" s="34"/>
      <c r="F14" s="34"/>
      <c r="G14" s="34"/>
      <c r="H14" s="9"/>
      <c r="I14" s="9"/>
      <c r="J14" s="9"/>
      <c r="K14" s="9"/>
      <c r="L14" s="9"/>
      <c r="M14" s="9"/>
      <c r="N14" s="9"/>
      <c r="O14" s="9"/>
      <c r="P14" s="9"/>
      <c r="Q14" s="9"/>
      <c r="R14" s="9"/>
      <c r="S14" s="9"/>
      <c r="T14" s="9"/>
      <c r="U14" s="9"/>
      <c r="V14" s="9"/>
      <c r="W14" s="9"/>
      <c r="X14" s="9"/>
      <c r="Y14" s="9"/>
      <c r="Z14" s="9"/>
      <c r="AA14" s="9"/>
      <c r="AB14" s="9"/>
      <c r="AC14" s="9"/>
      <c r="AD14" s="9"/>
    </row>
    <row r="15" spans="1:30" ht="14.25" customHeight="1" x14ac:dyDescent="0.3">
      <c r="A15" s="1"/>
      <c r="B15" s="35" t="s">
        <v>293</v>
      </c>
      <c r="C15" s="27">
        <f>(Assumptions!C23*(1+Assumptions!C24)^1*Assumptions!C25-Assumptions!C23*(1+Assumptions!C24)^1*Assumptions!C26)*(1-Assumptions!C12)</f>
        <v>44.954999999999998</v>
      </c>
      <c r="D15" s="27">
        <f>(Assumptions!C23*(1+Assumptions!C24)^2*Assumptions!C25-Assumptions!C23*(1+Assumptions!C24)^2*Assumptions!C26)*(1-Assumptions!C12)</f>
        <v>48.551400000000001</v>
      </c>
      <c r="E15" s="27">
        <f>(Assumptions!C23*(1+Assumptions!C24)^3*Assumptions!C25-Assumptions!C23*(1+Assumptions!C24)^3*Assumptions!C26)*(1-Assumptions!C12)</f>
        <v>52.435512000000003</v>
      </c>
      <c r="F15" s="27">
        <f>(Assumptions!C23*(1+Assumptions!C24)^4*Assumptions!C25-Assumptions!C23*(1+Assumptions!C24)^4*Assumptions!C26)*(1-Assumptions!C12)</f>
        <v>56.630352960000018</v>
      </c>
      <c r="G15" s="27">
        <f>(Assumptions!C23*(1+Assumptions!C24)^5*Assumptions!C25-Assumptions!C23*(1+Assumptions!C24)^5*Assumptions!C26)*(1-Assumptions!C12)</f>
        <v>61.160781196800016</v>
      </c>
      <c r="H15" s="9"/>
      <c r="I15" s="9"/>
      <c r="J15" s="9"/>
      <c r="K15" s="9"/>
      <c r="L15" s="9"/>
      <c r="M15" s="9"/>
      <c r="N15" s="9"/>
      <c r="O15" s="9"/>
      <c r="P15" s="9"/>
      <c r="Q15" s="9"/>
      <c r="R15" s="9"/>
      <c r="S15" s="9"/>
      <c r="T15" s="9"/>
      <c r="U15" s="9"/>
      <c r="V15" s="9"/>
      <c r="W15" s="9"/>
      <c r="X15" s="9"/>
      <c r="Y15" s="9"/>
      <c r="Z15" s="9"/>
      <c r="AA15" s="9"/>
      <c r="AB15" s="9"/>
      <c r="AC15" s="9"/>
      <c r="AD15" s="9"/>
    </row>
    <row r="16" spans="1:30" ht="14.25" customHeight="1" x14ac:dyDescent="0.3">
      <c r="A16" s="1"/>
      <c r="B16" s="35" t="s">
        <v>294</v>
      </c>
      <c r="C16" s="27">
        <f>Pro_Forma_IS!C21*(1-Assumptions!C12)</f>
        <v>7.5</v>
      </c>
      <c r="D16" s="27">
        <f>Pro_Forma_IS!D21*(1-Assumptions!C12)</f>
        <v>15</v>
      </c>
      <c r="E16" s="27">
        <f>Pro_Forma_IS!E21*(1-Assumptions!C12)</f>
        <v>22.5</v>
      </c>
      <c r="F16" s="27">
        <f>Pro_Forma_IS!F21*(1-Assumptions!C12)</f>
        <v>30</v>
      </c>
      <c r="G16" s="27">
        <f>Pro_Forma_IS!G21*(1-Assumptions!C12)</f>
        <v>30</v>
      </c>
      <c r="H16" s="9"/>
      <c r="I16" s="9"/>
      <c r="J16" s="9"/>
      <c r="K16" s="9"/>
      <c r="L16" s="9"/>
      <c r="M16" s="9"/>
      <c r="N16" s="9"/>
      <c r="O16" s="9"/>
      <c r="P16" s="9"/>
      <c r="Q16" s="9"/>
      <c r="R16" s="9"/>
      <c r="S16" s="9"/>
      <c r="T16" s="9"/>
      <c r="U16" s="9"/>
      <c r="V16" s="9"/>
      <c r="W16" s="9"/>
      <c r="X16" s="9"/>
      <c r="Y16" s="9"/>
      <c r="Z16" s="9"/>
      <c r="AA16" s="9"/>
      <c r="AB16" s="9"/>
      <c r="AC16" s="9"/>
      <c r="AD16" s="9"/>
    </row>
    <row r="17" spans="1:30" ht="14.25" customHeight="1" x14ac:dyDescent="0.3">
      <c r="A17" s="1"/>
      <c r="B17" s="35" t="s">
        <v>295</v>
      </c>
      <c r="C17" s="27">
        <f>Pro_Forma_IS!C22*(1-Assumptions!C12)</f>
        <v>28.125</v>
      </c>
      <c r="D17" s="27">
        <f>Pro_Forma_IS!D22*(1-Assumptions!C12)</f>
        <v>56.25</v>
      </c>
      <c r="E17" s="27">
        <f>Pro_Forma_IS!E22*(1-Assumptions!C12)</f>
        <v>84.375</v>
      </c>
      <c r="F17" s="27">
        <f>Pro_Forma_IS!F22*(1-Assumptions!C12)</f>
        <v>112.5</v>
      </c>
      <c r="G17" s="27">
        <f>Pro_Forma_IS!G22*(1-Assumptions!C12)</f>
        <v>112.5</v>
      </c>
      <c r="H17" s="9"/>
      <c r="I17" s="9"/>
      <c r="J17" s="9"/>
      <c r="K17" s="9"/>
      <c r="L17" s="9"/>
      <c r="M17" s="9"/>
      <c r="N17" s="9"/>
      <c r="O17" s="9"/>
      <c r="P17" s="9"/>
      <c r="Q17" s="9"/>
      <c r="R17" s="9"/>
      <c r="S17" s="9"/>
      <c r="T17" s="9"/>
      <c r="U17" s="9"/>
      <c r="V17" s="9"/>
      <c r="W17" s="9"/>
      <c r="X17" s="9"/>
      <c r="Y17" s="9"/>
      <c r="Z17" s="9"/>
      <c r="AA17" s="9"/>
      <c r="AB17" s="9"/>
      <c r="AC17" s="9"/>
      <c r="AD17" s="9"/>
    </row>
    <row r="18" spans="1:30" ht="14.25" customHeight="1" x14ac:dyDescent="0.3">
      <c r="A18" s="1"/>
      <c r="B18" s="35" t="s">
        <v>296</v>
      </c>
      <c r="C18" s="27">
        <f>Pro_Forma_IS!C28*(1-Assumptions!C12)</f>
        <v>-56.25</v>
      </c>
      <c r="D18" s="27">
        <f>Pro_Forma_IS!D28*(1-Assumptions!C12)</f>
        <v>-56.25</v>
      </c>
      <c r="E18" s="27">
        <f>Pro_Forma_IS!E28*(1-Assumptions!C12)</f>
        <v>0</v>
      </c>
      <c r="F18" s="27">
        <f>Pro_Forma_IS!F28*(1-Assumptions!C12)</f>
        <v>0</v>
      </c>
      <c r="G18" s="27">
        <f>Pro_Forma_IS!G28*(1-Assumptions!C12)</f>
        <v>0</v>
      </c>
      <c r="H18" s="9"/>
      <c r="I18" s="9"/>
      <c r="J18" s="9"/>
      <c r="K18" s="9"/>
      <c r="L18" s="9"/>
      <c r="M18" s="9"/>
      <c r="N18" s="9"/>
      <c r="O18" s="9"/>
      <c r="P18" s="9"/>
      <c r="Q18" s="9"/>
      <c r="R18" s="9"/>
      <c r="S18" s="9"/>
      <c r="T18" s="9"/>
      <c r="U18" s="9"/>
      <c r="V18" s="9"/>
      <c r="W18" s="9"/>
      <c r="X18" s="9"/>
      <c r="Y18" s="9"/>
      <c r="Z18" s="9"/>
      <c r="AA18" s="9"/>
      <c r="AB18" s="9"/>
      <c r="AC18" s="9"/>
      <c r="AD18" s="9"/>
    </row>
    <row r="19" spans="1:30" ht="14.25" customHeight="1" x14ac:dyDescent="0.3">
      <c r="A19" s="1"/>
      <c r="B19" s="35" t="s">
        <v>297</v>
      </c>
      <c r="C19" s="27">
        <f>-Pro_Forma_IS!C31*(1-Assumptions!C12)</f>
        <v>-25.3125</v>
      </c>
      <c r="D19" s="27">
        <f>-Pro_Forma_IS!D31*(1-Assumptions!C12)</f>
        <v>-25.3125</v>
      </c>
      <c r="E19" s="27">
        <f>-Pro_Forma_IS!E31*(1-Assumptions!C12)</f>
        <v>-25.3125</v>
      </c>
      <c r="F19" s="27">
        <f>-Pro_Forma_IS!F31*(1-Assumptions!C12)</f>
        <v>-25.3125</v>
      </c>
      <c r="G19" s="27">
        <f>-Pro_Forma_IS!G31*(1-Assumptions!C12)</f>
        <v>-25.3125</v>
      </c>
      <c r="H19" s="9"/>
      <c r="I19" s="9"/>
      <c r="J19" s="9"/>
      <c r="K19" s="9"/>
      <c r="L19" s="9"/>
      <c r="M19" s="9"/>
      <c r="N19" s="9"/>
      <c r="O19" s="9"/>
      <c r="P19" s="9"/>
      <c r="Q19" s="9"/>
      <c r="R19" s="9"/>
      <c r="S19" s="9"/>
      <c r="T19" s="9"/>
      <c r="U19" s="9"/>
      <c r="V19" s="9"/>
      <c r="W19" s="9"/>
      <c r="X19" s="9"/>
      <c r="Y19" s="9"/>
      <c r="Z19" s="9"/>
      <c r="AA19" s="9"/>
      <c r="AB19" s="9"/>
      <c r="AC19" s="9"/>
      <c r="AD19" s="9"/>
    </row>
    <row r="20" spans="1:30" ht="14.25" customHeight="1" x14ac:dyDescent="0.3">
      <c r="A20" s="1"/>
      <c r="B20" s="35" t="s">
        <v>298</v>
      </c>
      <c r="C20" s="27">
        <f>-Pro_Forma_IS!C32*(1-Assumptions!C12)</f>
        <v>0</v>
      </c>
      <c r="D20" s="27">
        <f>-Pro_Forma_IS!D32*(1-Assumptions!C12)</f>
        <v>0</v>
      </c>
      <c r="E20" s="27">
        <f>-Pro_Forma_IS!E32*(1-Assumptions!C12)</f>
        <v>0</v>
      </c>
      <c r="F20" s="27">
        <f>-Pro_Forma_IS!F32*(1-Assumptions!C12)</f>
        <v>0</v>
      </c>
      <c r="G20" s="27">
        <f>-Pro_Forma_IS!G32*(1-Assumptions!C12)</f>
        <v>0</v>
      </c>
      <c r="H20" s="9"/>
      <c r="I20" s="9"/>
      <c r="J20" s="9"/>
      <c r="K20" s="9"/>
      <c r="L20" s="9"/>
      <c r="M20" s="9"/>
      <c r="N20" s="9"/>
      <c r="O20" s="9"/>
      <c r="P20" s="9"/>
      <c r="Q20" s="9"/>
      <c r="R20" s="9"/>
      <c r="S20" s="9"/>
      <c r="T20" s="9"/>
      <c r="U20" s="9"/>
      <c r="V20" s="9"/>
      <c r="W20" s="9"/>
      <c r="X20" s="9"/>
      <c r="Y20" s="9"/>
      <c r="Z20" s="9"/>
      <c r="AA20" s="9"/>
      <c r="AB20" s="9"/>
      <c r="AC20" s="9"/>
      <c r="AD20" s="9"/>
    </row>
    <row r="21" spans="1:30" ht="14.25" customHeight="1" x14ac:dyDescent="0.3">
      <c r="A21" s="1"/>
      <c r="B21" s="35" t="s">
        <v>299</v>
      </c>
      <c r="C21" s="27">
        <f>-Pro_Forma_IS!C38*(1-Assumptions!C12)</f>
        <v>1.4437500000000001</v>
      </c>
      <c r="D21" s="27">
        <f>-Pro_Forma_IS!D38*(1-Assumptions!C12)</f>
        <v>0</v>
      </c>
      <c r="E21" s="27">
        <f>-Pro_Forma_IS!E38*(1-Assumptions!C12)</f>
        <v>-0.144375</v>
      </c>
      <c r="F21" s="27">
        <f>-Pro_Forma_IS!F38*(1-Assumptions!C12)</f>
        <v>-0.28875000000000001</v>
      </c>
      <c r="G21" s="27">
        <f>-Pro_Forma_IS!G38*(1-Assumptions!C12)</f>
        <v>-0.43312499999999998</v>
      </c>
      <c r="H21" s="9"/>
      <c r="I21" s="9"/>
      <c r="J21" s="9"/>
      <c r="K21" s="9"/>
      <c r="L21" s="9"/>
      <c r="M21" s="9"/>
      <c r="N21" s="9"/>
      <c r="O21" s="9"/>
      <c r="P21" s="9"/>
      <c r="Q21" s="9"/>
      <c r="R21" s="9"/>
      <c r="S21" s="9"/>
      <c r="T21" s="9"/>
      <c r="U21" s="9"/>
      <c r="V21" s="9"/>
      <c r="W21" s="9"/>
      <c r="X21" s="9"/>
      <c r="Y21" s="9"/>
      <c r="Z21" s="9"/>
      <c r="AA21" s="9"/>
      <c r="AB21" s="9"/>
      <c r="AC21" s="9"/>
      <c r="AD21" s="9"/>
    </row>
    <row r="22" spans="1:30" ht="14.25" customHeight="1" x14ac:dyDescent="0.3">
      <c r="A22" s="1"/>
      <c r="B22" s="35" t="s">
        <v>300</v>
      </c>
      <c r="C22" s="27">
        <f>-Pro_Forma_IS!C42*(1-Assumptions!C12)</f>
        <v>-33.75</v>
      </c>
      <c r="D22" s="27">
        <f>-Pro_Forma_IS!D42*(1-Assumptions!C12)</f>
        <v>-16.875</v>
      </c>
      <c r="E22" s="27">
        <f>-Pro_Forma_IS!E42*(1-Assumptions!C12)</f>
        <v>0</v>
      </c>
      <c r="F22" s="27">
        <f>-Pro_Forma_IS!F42*(1-Assumptions!C12)</f>
        <v>0</v>
      </c>
      <c r="G22" s="27">
        <f>-Pro_Forma_IS!G42*(1-Assumptions!C12)</f>
        <v>0</v>
      </c>
      <c r="H22" s="9"/>
      <c r="I22" s="9"/>
      <c r="J22" s="9"/>
      <c r="K22" s="9"/>
      <c r="L22" s="9"/>
      <c r="M22" s="9"/>
      <c r="N22" s="9"/>
      <c r="O22" s="9"/>
      <c r="P22" s="9"/>
      <c r="Q22" s="9"/>
      <c r="R22" s="9"/>
      <c r="S22" s="9"/>
      <c r="T22" s="9"/>
      <c r="U22" s="9"/>
      <c r="V22" s="9"/>
      <c r="W22" s="9"/>
      <c r="X22" s="9"/>
      <c r="Y22" s="9"/>
      <c r="Z22" s="9"/>
      <c r="AA22" s="9"/>
      <c r="AB22" s="9"/>
      <c r="AC22" s="9"/>
      <c r="AD22" s="9"/>
    </row>
    <row r="23" spans="1:30" ht="14.25" customHeight="1" x14ac:dyDescent="0.3">
      <c r="A23" s="1"/>
      <c r="B23" s="35" t="s">
        <v>301</v>
      </c>
      <c r="C23" s="27">
        <f>-Pro_Forma_IS!C40*(1-Assumptions!C12)</f>
        <v>-48.75</v>
      </c>
      <c r="D23" s="27">
        <f>-Pro_Forma_IS!D40*(1-Assumptions!C12)</f>
        <v>0</v>
      </c>
      <c r="E23" s="27">
        <f>-Pro_Forma_IS!E40*(1-Assumptions!C12)</f>
        <v>0</v>
      </c>
      <c r="F23" s="27">
        <f>-Pro_Forma_IS!F40*(1-Assumptions!C12)</f>
        <v>0</v>
      </c>
      <c r="G23" s="27">
        <f>-Pro_Forma_IS!G40*(1-Assumptions!C12)</f>
        <v>0</v>
      </c>
      <c r="H23" s="9"/>
      <c r="I23" s="9"/>
      <c r="J23" s="9"/>
      <c r="K23" s="9"/>
      <c r="L23" s="9"/>
      <c r="M23" s="9"/>
      <c r="N23" s="9"/>
      <c r="O23" s="9"/>
      <c r="P23" s="9"/>
      <c r="Q23" s="9"/>
      <c r="R23" s="9"/>
      <c r="S23" s="9"/>
      <c r="T23" s="9"/>
      <c r="U23" s="9"/>
      <c r="V23" s="9"/>
      <c r="W23" s="9"/>
      <c r="X23" s="9"/>
      <c r="Y23" s="9"/>
      <c r="Z23" s="9"/>
      <c r="AA23" s="9"/>
      <c r="AB23" s="9"/>
      <c r="AC23" s="9"/>
      <c r="AD23" s="9"/>
    </row>
    <row r="24" spans="1:30" ht="14.25" customHeight="1" x14ac:dyDescent="0.3">
      <c r="A24" s="1"/>
      <c r="B24" s="35" t="s">
        <v>302</v>
      </c>
      <c r="C24" s="27">
        <f>-Pro_Forma_IS!C41*(1-Assumptions!C12)</f>
        <v>-5.3571428571428577</v>
      </c>
      <c r="D24" s="27">
        <f>-Pro_Forma_IS!D41*(1-Assumptions!C12)</f>
        <v>-5.3571428571428577</v>
      </c>
      <c r="E24" s="27">
        <f>-Pro_Forma_IS!E41*(1-Assumptions!C12)</f>
        <v>-5.3571428571428577</v>
      </c>
      <c r="F24" s="27">
        <f>-Pro_Forma_IS!F41*(1-Assumptions!C12)</f>
        <v>-5.3571428571428577</v>
      </c>
      <c r="G24" s="27">
        <f>-Pro_Forma_IS!G41*(1-Assumptions!C12)</f>
        <v>-5.3571428571428577</v>
      </c>
      <c r="H24" s="9"/>
      <c r="I24" s="9"/>
      <c r="J24" s="9"/>
      <c r="K24" s="9"/>
      <c r="L24" s="9"/>
      <c r="M24" s="9"/>
      <c r="N24" s="9"/>
      <c r="O24" s="9"/>
      <c r="P24" s="9"/>
      <c r="Q24" s="9"/>
      <c r="R24" s="9"/>
      <c r="S24" s="9"/>
      <c r="T24" s="9"/>
      <c r="U24" s="9"/>
      <c r="V24" s="9"/>
      <c r="W24" s="9"/>
      <c r="X24" s="9"/>
      <c r="Y24" s="9"/>
      <c r="Z24" s="9"/>
      <c r="AA24" s="9"/>
      <c r="AB24" s="9"/>
      <c r="AC24" s="9"/>
      <c r="AD24" s="9"/>
    </row>
    <row r="25" spans="1:30" ht="14.25" customHeight="1" x14ac:dyDescent="0.3">
      <c r="A25" s="1"/>
      <c r="B25" s="1"/>
      <c r="C25" s="1"/>
      <c r="D25" s="1"/>
      <c r="E25" s="1"/>
      <c r="F25" s="1"/>
      <c r="G25" s="1"/>
      <c r="H25" s="9"/>
      <c r="I25" s="9"/>
      <c r="J25" s="9"/>
      <c r="K25" s="9"/>
      <c r="L25" s="9"/>
      <c r="M25" s="9"/>
      <c r="N25" s="9"/>
      <c r="O25" s="9"/>
      <c r="P25" s="9"/>
      <c r="Q25" s="9"/>
      <c r="R25" s="9"/>
      <c r="S25" s="9"/>
      <c r="T25" s="9"/>
      <c r="U25" s="9"/>
      <c r="V25" s="9"/>
      <c r="W25" s="9"/>
      <c r="X25" s="9"/>
      <c r="Y25" s="9"/>
      <c r="Z25" s="9"/>
      <c r="AA25" s="9"/>
      <c r="AB25" s="9"/>
      <c r="AC25" s="9"/>
      <c r="AD25" s="9"/>
    </row>
    <row r="26" spans="1:30" ht="14.25" customHeight="1" x14ac:dyDescent="0.3">
      <c r="A26" s="1"/>
      <c r="B26" s="36" t="s">
        <v>303</v>
      </c>
      <c r="C26" s="37">
        <f>SUM(C15:C24)</f>
        <v>-87.395892857142854</v>
      </c>
      <c r="D26" s="37">
        <f>SUM(D15:D24)</f>
        <v>16.006757142857143</v>
      </c>
      <c r="E26" s="37">
        <f>SUM(E15:E24)</f>
        <v>128.49649414285716</v>
      </c>
      <c r="F26" s="37">
        <f>SUM(F15:F24)</f>
        <v>168.17196010285716</v>
      </c>
      <c r="G26" s="37">
        <f>SUM(G15:G24)</f>
        <v>172.55801333965718</v>
      </c>
      <c r="H26" s="9"/>
      <c r="I26" s="9"/>
      <c r="J26" s="9"/>
      <c r="K26" s="9"/>
      <c r="L26" s="9"/>
      <c r="M26" s="9"/>
      <c r="N26" s="9"/>
      <c r="O26" s="9"/>
      <c r="P26" s="9"/>
      <c r="Q26" s="9"/>
      <c r="R26" s="9"/>
      <c r="S26" s="9"/>
      <c r="T26" s="9"/>
      <c r="U26" s="9"/>
      <c r="V26" s="9"/>
      <c r="W26" s="9"/>
      <c r="X26" s="9"/>
      <c r="Y26" s="9"/>
      <c r="Z26" s="9"/>
      <c r="AA26" s="9"/>
      <c r="AB26" s="9"/>
      <c r="AC26" s="9"/>
      <c r="AD26" s="9"/>
    </row>
    <row r="27" spans="1:30" ht="14.25" customHeight="1" x14ac:dyDescent="0.3">
      <c r="A27" s="1"/>
      <c r="B27" s="36" t="s">
        <v>304</v>
      </c>
      <c r="C27" s="42">
        <f>C26-C28</f>
        <v>1.7905676941154525E-12</v>
      </c>
      <c r="D27" s="42">
        <f>D26-D28</f>
        <v>-1.84385839929746E-12</v>
      </c>
      <c r="E27" s="42">
        <f>E26-E28</f>
        <v>-1.7053025658242404E-12</v>
      </c>
      <c r="F27" s="42">
        <f>F26-F28</f>
        <v>2.7284841053187847E-12</v>
      </c>
      <c r="G27" s="42">
        <f>G26-G28</f>
        <v>-7.3896444519050419E-13</v>
      </c>
      <c r="H27" s="9"/>
      <c r="I27" s="9"/>
      <c r="J27" s="9"/>
      <c r="K27" s="9"/>
      <c r="L27" s="9"/>
      <c r="M27" s="9"/>
      <c r="N27" s="9"/>
      <c r="O27" s="9"/>
      <c r="P27" s="9"/>
      <c r="Q27" s="9"/>
      <c r="R27" s="9"/>
      <c r="S27" s="9"/>
      <c r="T27" s="9"/>
      <c r="U27" s="9"/>
      <c r="V27" s="9"/>
      <c r="W27" s="9"/>
      <c r="X27" s="9"/>
      <c r="Y27" s="9"/>
      <c r="Z27" s="9"/>
      <c r="AA27" s="9"/>
      <c r="AB27" s="9"/>
      <c r="AC27" s="9"/>
      <c r="AD27" s="9"/>
    </row>
    <row r="28" spans="1:30" ht="14.25" customHeight="1" x14ac:dyDescent="0.3">
      <c r="A28" s="1"/>
      <c r="B28" s="43" t="s">
        <v>305</v>
      </c>
      <c r="C28" s="38">
        <f>Pro_Forma_IS!C48-Standalone_IS!C19</f>
        <v>-87.395892857144645</v>
      </c>
      <c r="D28" s="38">
        <f>Pro_Forma_IS!D48-Standalone_IS!D19</f>
        <v>16.006757142858987</v>
      </c>
      <c r="E28" s="38">
        <f>Pro_Forma_IS!E48-Standalone_IS!E19</f>
        <v>128.49649414285886</v>
      </c>
      <c r="F28" s="38">
        <f>Pro_Forma_IS!F48-Standalone_IS!F19</f>
        <v>168.17196010285443</v>
      </c>
      <c r="G28" s="38">
        <f>Pro_Forma_IS!G48-Standalone_IS!G19</f>
        <v>172.55801333965792</v>
      </c>
      <c r="H28" s="9"/>
      <c r="I28" s="9"/>
      <c r="J28" s="9"/>
      <c r="K28" s="9"/>
      <c r="L28" s="9"/>
      <c r="M28" s="9"/>
      <c r="N28" s="9"/>
      <c r="O28" s="9"/>
      <c r="P28" s="9"/>
      <c r="Q28" s="9"/>
      <c r="R28" s="9"/>
      <c r="S28" s="9"/>
      <c r="T28" s="9"/>
      <c r="U28" s="9"/>
      <c r="V28" s="9"/>
      <c r="W28" s="9"/>
      <c r="X28" s="9"/>
      <c r="Y28" s="9"/>
      <c r="Z28" s="9"/>
      <c r="AA28" s="9"/>
      <c r="AB28" s="9"/>
      <c r="AC28" s="9"/>
      <c r="AD28" s="9"/>
    </row>
    <row r="29" spans="1:30" ht="14.25" customHeight="1" x14ac:dyDescent="0.3">
      <c r="A29" s="1"/>
      <c r="B29" s="1"/>
      <c r="C29" s="1"/>
      <c r="D29" s="1"/>
      <c r="E29" s="1"/>
      <c r="F29" s="1"/>
      <c r="G29" s="1"/>
      <c r="H29" s="9"/>
      <c r="I29" s="9"/>
      <c r="J29" s="9"/>
      <c r="K29" s="9"/>
      <c r="L29" s="9"/>
      <c r="M29" s="9"/>
      <c r="N29" s="9"/>
      <c r="O29" s="9"/>
      <c r="P29" s="9"/>
      <c r="Q29" s="9"/>
      <c r="R29" s="9"/>
      <c r="S29" s="9"/>
      <c r="T29" s="9"/>
      <c r="U29" s="9"/>
      <c r="V29" s="9"/>
      <c r="W29" s="9"/>
      <c r="X29" s="9"/>
      <c r="Y29" s="9"/>
      <c r="Z29" s="9"/>
      <c r="AA29" s="9"/>
      <c r="AB29" s="9"/>
      <c r="AC29" s="9"/>
      <c r="AD29" s="9"/>
    </row>
    <row r="30" spans="1:30" ht="14.25" customHeight="1" x14ac:dyDescent="0.3">
      <c r="A30" s="1"/>
      <c r="B30" s="2" t="s">
        <v>306</v>
      </c>
      <c r="C30" s="34"/>
      <c r="D30" s="34"/>
      <c r="E30" s="34"/>
      <c r="F30" s="34"/>
      <c r="G30" s="34"/>
      <c r="H30" s="9"/>
      <c r="I30" s="9"/>
      <c r="J30" s="9"/>
      <c r="K30" s="9"/>
      <c r="L30" s="9"/>
      <c r="M30" s="9"/>
      <c r="N30" s="9"/>
      <c r="O30" s="9"/>
      <c r="P30" s="9"/>
      <c r="Q30" s="9"/>
      <c r="R30" s="9"/>
      <c r="S30" s="9"/>
      <c r="T30" s="9"/>
      <c r="U30" s="9"/>
      <c r="V30" s="9"/>
      <c r="W30" s="9"/>
      <c r="X30" s="9"/>
      <c r="Y30" s="9"/>
      <c r="Z30" s="9"/>
      <c r="AA30" s="9"/>
      <c r="AB30" s="9"/>
      <c r="AC30" s="9"/>
      <c r="AD30" s="9"/>
    </row>
    <row r="31" spans="1:30" ht="14.25" customHeight="1" x14ac:dyDescent="0.3">
      <c r="A31" s="1"/>
      <c r="B31" s="1"/>
      <c r="C31" s="1"/>
      <c r="D31" s="1"/>
      <c r="E31" s="1"/>
      <c r="F31" s="1"/>
      <c r="G31" s="1"/>
      <c r="H31" s="9"/>
      <c r="I31" s="9"/>
      <c r="J31" s="9"/>
      <c r="K31" s="9"/>
      <c r="L31" s="9"/>
      <c r="M31" s="9"/>
      <c r="N31" s="9"/>
      <c r="O31" s="9"/>
      <c r="P31" s="9"/>
      <c r="Q31" s="9"/>
      <c r="R31" s="9"/>
      <c r="S31" s="9"/>
      <c r="T31" s="9"/>
      <c r="U31" s="9"/>
      <c r="V31" s="9"/>
      <c r="W31" s="9"/>
      <c r="X31" s="9"/>
      <c r="Y31" s="9"/>
      <c r="Z31" s="9"/>
      <c r="AA31" s="9"/>
      <c r="AB31" s="9"/>
      <c r="AC31" s="9"/>
      <c r="AD31" s="9"/>
    </row>
    <row r="32" spans="1:30" ht="14.25" customHeight="1" x14ac:dyDescent="0.3">
      <c r="A32" s="1"/>
      <c r="B32" t="s">
        <v>46</v>
      </c>
      <c r="C32" s="39">
        <f>Standalone_IS!C21</f>
        <v>22.597727272727273</v>
      </c>
      <c r="D32" s="39">
        <f>Standalone_IS!D21</f>
        <v>23.773068181818179</v>
      </c>
      <c r="E32" s="39">
        <f>Standalone_IS!E21</f>
        <v>25.004903409090911</v>
      </c>
      <c r="F32" s="39">
        <f>Standalone_IS!F21</f>
        <v>26.296171306818184</v>
      </c>
      <c r="G32" s="39">
        <f>Standalone_IS!G21</f>
        <v>27.649951463068184</v>
      </c>
      <c r="H32" s="9"/>
      <c r="I32" s="9"/>
      <c r="J32" s="9"/>
      <c r="K32" s="9"/>
      <c r="L32" s="9"/>
      <c r="M32" s="9"/>
      <c r="N32" s="9"/>
      <c r="O32" s="9"/>
      <c r="P32" s="9"/>
      <c r="Q32" s="9"/>
      <c r="R32" s="9"/>
      <c r="S32" s="9"/>
      <c r="T32" s="9"/>
      <c r="U32" s="9"/>
      <c r="V32" s="9"/>
      <c r="W32" s="9"/>
      <c r="X32" s="9"/>
      <c r="Y32" s="9"/>
      <c r="Z32" s="9"/>
      <c r="AA32" s="9"/>
      <c r="AB32" s="9"/>
      <c r="AC32" s="9"/>
      <c r="AD32" s="9"/>
    </row>
    <row r="33" spans="1:30" ht="14.25" customHeight="1" x14ac:dyDescent="0.3">
      <c r="A33" s="1"/>
      <c r="B33" s="35" t="s">
        <v>307</v>
      </c>
      <c r="C33" s="39">
        <f>C15/Assumptions!C92</f>
        <v>0.13540662650602409</v>
      </c>
      <c r="D33" s="39">
        <f>D15/Assumptions!C92</f>
        <v>0.14623915662650602</v>
      </c>
      <c r="E33" s="39">
        <f>E15/Assumptions!C92</f>
        <v>0.15793828915662653</v>
      </c>
      <c r="F33" s="39">
        <f>F15/Assumptions!C92</f>
        <v>0.17057335228915668</v>
      </c>
      <c r="G33" s="39">
        <f>G15/Assumptions!C92</f>
        <v>0.1842192204722892</v>
      </c>
      <c r="H33" s="9"/>
      <c r="I33" s="9"/>
      <c r="J33" s="9"/>
      <c r="K33" s="9"/>
      <c r="L33" s="9"/>
      <c r="M33" s="9"/>
      <c r="N33" s="9"/>
      <c r="O33" s="9"/>
      <c r="P33" s="9"/>
      <c r="Q33" s="9"/>
      <c r="R33" s="9"/>
      <c r="S33" s="9"/>
      <c r="T33" s="9"/>
      <c r="U33" s="9"/>
      <c r="V33" s="9"/>
      <c r="W33" s="9"/>
      <c r="X33" s="9"/>
      <c r="Y33" s="9"/>
      <c r="Z33" s="9"/>
      <c r="AA33" s="9"/>
      <c r="AB33" s="9"/>
      <c r="AC33" s="9"/>
      <c r="AD33" s="9"/>
    </row>
    <row r="34" spans="1:30" ht="14.25" customHeight="1" x14ac:dyDescent="0.3">
      <c r="A34" s="1"/>
      <c r="B34" s="35" t="s">
        <v>308</v>
      </c>
      <c r="C34" s="39">
        <f>C16/Assumptions!C92</f>
        <v>2.2590361445783132E-2</v>
      </c>
      <c r="D34" s="39">
        <f>D16/Assumptions!C92</f>
        <v>4.5180722891566265E-2</v>
      </c>
      <c r="E34" s="39">
        <f>E16/Assumptions!C92</f>
        <v>6.7771084337349394E-2</v>
      </c>
      <c r="F34" s="39">
        <f>F16/Assumptions!C92</f>
        <v>9.036144578313253E-2</v>
      </c>
      <c r="G34" s="39">
        <f>G16/Assumptions!C92</f>
        <v>9.036144578313253E-2</v>
      </c>
      <c r="H34" s="9"/>
      <c r="I34" s="9"/>
      <c r="J34" s="9"/>
      <c r="K34" s="9"/>
      <c r="L34" s="9"/>
      <c r="M34" s="9"/>
      <c r="N34" s="9"/>
      <c r="O34" s="9"/>
      <c r="P34" s="9"/>
      <c r="Q34" s="9"/>
      <c r="R34" s="9"/>
      <c r="S34" s="9"/>
      <c r="T34" s="9"/>
      <c r="U34" s="9"/>
      <c r="V34" s="9"/>
      <c r="W34" s="9"/>
      <c r="X34" s="9"/>
      <c r="Y34" s="9"/>
      <c r="Z34" s="9"/>
      <c r="AA34" s="9"/>
      <c r="AB34" s="9"/>
      <c r="AC34" s="9"/>
      <c r="AD34" s="9"/>
    </row>
    <row r="35" spans="1:30" ht="14.25" customHeight="1" x14ac:dyDescent="0.3">
      <c r="A35" s="1"/>
      <c r="B35" s="35" t="s">
        <v>309</v>
      </c>
      <c r="C35" s="39">
        <f>C17/Assumptions!C92</f>
        <v>8.4713855421686746E-2</v>
      </c>
      <c r="D35" s="39">
        <f>D17/Assumptions!C92</f>
        <v>0.16942771084337349</v>
      </c>
      <c r="E35" s="39">
        <f>E17/Assumptions!C92</f>
        <v>0.25414156626506024</v>
      </c>
      <c r="F35" s="39">
        <f>F17/Assumptions!C92</f>
        <v>0.33885542168674698</v>
      </c>
      <c r="G35" s="39">
        <f>G17/Assumptions!C92</f>
        <v>0.33885542168674698</v>
      </c>
      <c r="H35" s="9"/>
      <c r="I35" s="9"/>
      <c r="J35" s="9"/>
      <c r="K35" s="9"/>
      <c r="L35" s="9"/>
      <c r="M35" s="9"/>
      <c r="N35" s="9"/>
      <c r="O35" s="9"/>
      <c r="P35" s="9"/>
      <c r="Q35" s="9"/>
      <c r="R35" s="9"/>
      <c r="S35" s="9"/>
      <c r="T35" s="9"/>
      <c r="U35" s="9"/>
      <c r="V35" s="9"/>
      <c r="W35" s="9"/>
      <c r="X35" s="9"/>
      <c r="Y35" s="9"/>
      <c r="Z35" s="9"/>
      <c r="AA35" s="9"/>
      <c r="AB35" s="9"/>
      <c r="AC35" s="9"/>
      <c r="AD35" s="9"/>
    </row>
    <row r="36" spans="1:30" ht="14.25" customHeight="1" x14ac:dyDescent="0.3">
      <c r="A36" s="1"/>
      <c r="B36" s="35" t="s">
        <v>310</v>
      </c>
      <c r="C36" s="39">
        <f>C18/Assumptions!C92</f>
        <v>-0.16942771084337349</v>
      </c>
      <c r="D36" s="39">
        <f>D18/Assumptions!C92</f>
        <v>-0.16942771084337349</v>
      </c>
      <c r="E36" s="39">
        <f>E18/Assumptions!C92</f>
        <v>0</v>
      </c>
      <c r="F36" s="39">
        <f>F18/Assumptions!C92</f>
        <v>0</v>
      </c>
      <c r="G36" s="39">
        <f>G18/Assumptions!C92</f>
        <v>0</v>
      </c>
      <c r="H36" s="9"/>
      <c r="I36" s="9"/>
      <c r="J36" s="9"/>
      <c r="K36" s="9"/>
      <c r="L36" s="9"/>
      <c r="M36" s="9"/>
      <c r="N36" s="9"/>
      <c r="O36" s="9"/>
      <c r="P36" s="9"/>
      <c r="Q36" s="9"/>
      <c r="R36" s="9"/>
      <c r="S36" s="9"/>
      <c r="T36" s="9"/>
      <c r="U36" s="9"/>
      <c r="V36" s="9"/>
      <c r="W36" s="9"/>
      <c r="X36" s="9"/>
      <c r="Y36" s="9"/>
      <c r="Z36" s="9"/>
      <c r="AA36" s="9"/>
      <c r="AB36" s="9"/>
      <c r="AC36" s="9"/>
      <c r="AD36" s="9"/>
    </row>
    <row r="37" spans="1:30" ht="14.25" customHeight="1" x14ac:dyDescent="0.3">
      <c r="A37" s="1"/>
      <c r="B37" s="35" t="s">
        <v>311</v>
      </c>
      <c r="C37" s="39">
        <f>C19/Assumptions!C92</f>
        <v>-7.6242469879518077E-2</v>
      </c>
      <c r="D37" s="39">
        <f>D19/Assumptions!C92</f>
        <v>-7.6242469879518077E-2</v>
      </c>
      <c r="E37" s="39">
        <f>E19/Assumptions!C92</f>
        <v>-7.6242469879518077E-2</v>
      </c>
      <c r="F37" s="39">
        <f>F19/Assumptions!C92</f>
        <v>-7.6242469879518077E-2</v>
      </c>
      <c r="G37" s="39">
        <f>G19/Assumptions!C92</f>
        <v>-7.6242469879518077E-2</v>
      </c>
      <c r="H37" s="9"/>
      <c r="I37" s="9"/>
      <c r="J37" s="9"/>
      <c r="K37" s="9"/>
      <c r="L37" s="9"/>
      <c r="M37" s="9"/>
      <c r="N37" s="9"/>
      <c r="O37" s="9"/>
      <c r="P37" s="9"/>
      <c r="Q37" s="9"/>
      <c r="R37" s="9"/>
      <c r="S37" s="9"/>
      <c r="T37" s="9"/>
      <c r="U37" s="9"/>
      <c r="V37" s="9"/>
      <c r="W37" s="9"/>
      <c r="X37" s="9"/>
      <c r="Y37" s="9"/>
      <c r="Z37" s="9"/>
      <c r="AA37" s="9"/>
      <c r="AB37" s="9"/>
      <c r="AC37" s="9"/>
      <c r="AD37" s="9"/>
    </row>
    <row r="38" spans="1:30" ht="14.25" customHeight="1" x14ac:dyDescent="0.3">
      <c r="A38" s="1"/>
      <c r="B38" s="35" t="s">
        <v>312</v>
      </c>
      <c r="C38" s="39">
        <f>C20/Assumptions!C92</f>
        <v>0</v>
      </c>
      <c r="D38" s="39">
        <f>D20/Assumptions!C92</f>
        <v>0</v>
      </c>
      <c r="E38" s="39">
        <f>E20/Assumptions!C92</f>
        <v>0</v>
      </c>
      <c r="F38" s="39">
        <f>F20/Assumptions!C92</f>
        <v>0</v>
      </c>
      <c r="G38" s="39">
        <f>G20/Assumptions!C92</f>
        <v>0</v>
      </c>
      <c r="H38" s="9"/>
      <c r="I38" s="9"/>
      <c r="J38" s="9"/>
      <c r="K38" s="9"/>
      <c r="L38" s="9"/>
      <c r="M38" s="9"/>
      <c r="N38" s="9"/>
      <c r="O38" s="9"/>
      <c r="P38" s="9"/>
      <c r="Q38" s="9"/>
      <c r="R38" s="9"/>
      <c r="S38" s="9"/>
      <c r="T38" s="9"/>
      <c r="U38" s="9"/>
      <c r="V38" s="9"/>
      <c r="W38" s="9"/>
      <c r="X38" s="9"/>
      <c r="Y38" s="9"/>
      <c r="Z38" s="9"/>
      <c r="AA38" s="9"/>
      <c r="AB38" s="9"/>
      <c r="AC38" s="9"/>
      <c r="AD38" s="9"/>
    </row>
    <row r="39" spans="1:30" ht="14.25" customHeight="1" x14ac:dyDescent="0.3">
      <c r="A39" s="1"/>
      <c r="B39" s="35" t="s">
        <v>313</v>
      </c>
      <c r="C39" s="39">
        <f>C21/Assumptions!C92</f>
        <v>4.3486445783132537E-3</v>
      </c>
      <c r="D39" s="39">
        <f>D21/Assumptions!C92</f>
        <v>0</v>
      </c>
      <c r="E39" s="39">
        <f>E21/Assumptions!C92</f>
        <v>-4.3486445783132529E-4</v>
      </c>
      <c r="F39" s="39">
        <f>F21/Assumptions!C92</f>
        <v>-8.6972891566265058E-4</v>
      </c>
      <c r="G39" s="39">
        <f>G21/Assumptions!C92</f>
        <v>-1.3045933734939759E-3</v>
      </c>
      <c r="H39" s="9"/>
      <c r="I39" s="9"/>
      <c r="J39" s="9"/>
      <c r="K39" s="9"/>
      <c r="L39" s="9"/>
      <c r="M39" s="9"/>
      <c r="N39" s="9"/>
      <c r="O39" s="9"/>
      <c r="P39" s="9"/>
      <c r="Q39" s="9"/>
      <c r="R39" s="9"/>
      <c r="S39" s="9"/>
      <c r="T39" s="9"/>
      <c r="U39" s="9"/>
      <c r="V39" s="9"/>
      <c r="W39" s="9"/>
      <c r="X39" s="9"/>
      <c r="Y39" s="9"/>
      <c r="Z39" s="9"/>
      <c r="AA39" s="9"/>
      <c r="AB39" s="9"/>
      <c r="AC39" s="9"/>
      <c r="AD39" s="9"/>
    </row>
    <row r="40" spans="1:30" ht="14.25" customHeight="1" x14ac:dyDescent="0.3">
      <c r="A40" s="1"/>
      <c r="B40" s="35" t="s">
        <v>314</v>
      </c>
      <c r="C40" s="39">
        <f>C22/Assumptions!C92</f>
        <v>-0.1016566265060241</v>
      </c>
      <c r="D40" s="39">
        <f>D22/Assumptions!C92</f>
        <v>-5.0828313253012049E-2</v>
      </c>
      <c r="E40" s="39">
        <f>E22/Assumptions!C92</f>
        <v>0</v>
      </c>
      <c r="F40" s="39">
        <f>F22/Assumptions!C92</f>
        <v>0</v>
      </c>
      <c r="G40" s="39">
        <f>G22/Assumptions!C92</f>
        <v>0</v>
      </c>
      <c r="H40" s="9"/>
      <c r="I40" s="9"/>
      <c r="J40" s="9"/>
      <c r="K40" s="9"/>
      <c r="L40" s="9"/>
      <c r="M40" s="9"/>
      <c r="N40" s="9"/>
      <c r="O40" s="9"/>
      <c r="P40" s="9"/>
      <c r="Q40" s="9"/>
      <c r="R40" s="9"/>
      <c r="S40" s="9"/>
      <c r="T40" s="9"/>
      <c r="U40" s="9"/>
      <c r="V40" s="9"/>
      <c r="W40" s="9"/>
      <c r="X40" s="9"/>
      <c r="Y40" s="9"/>
      <c r="Z40" s="9"/>
      <c r="AA40" s="9"/>
      <c r="AB40" s="9"/>
      <c r="AC40" s="9"/>
      <c r="AD40" s="9"/>
    </row>
    <row r="41" spans="1:30" ht="14.25" customHeight="1" x14ac:dyDescent="0.3">
      <c r="A41" s="1"/>
      <c r="B41" s="35" t="s">
        <v>315</v>
      </c>
      <c r="C41" s="39">
        <f>C23/Assumptions!C92</f>
        <v>-0.14683734939759036</v>
      </c>
      <c r="D41" s="39">
        <f>D23/Assumptions!C92</f>
        <v>0</v>
      </c>
      <c r="E41" s="39">
        <f>E23/Assumptions!C92</f>
        <v>0</v>
      </c>
      <c r="F41" s="39">
        <f>F23/Assumptions!C92</f>
        <v>0</v>
      </c>
      <c r="G41" s="39">
        <f>G23/Assumptions!C92</f>
        <v>0</v>
      </c>
      <c r="H41" s="9"/>
      <c r="I41" s="9"/>
      <c r="J41" s="9"/>
      <c r="K41" s="9"/>
      <c r="L41" s="9"/>
      <c r="M41" s="9"/>
      <c r="N41" s="9"/>
      <c r="O41" s="9"/>
      <c r="P41" s="9"/>
      <c r="Q41" s="9"/>
      <c r="R41" s="9"/>
      <c r="S41" s="9"/>
      <c r="T41" s="9"/>
      <c r="U41" s="9"/>
      <c r="V41" s="9"/>
      <c r="W41" s="9"/>
      <c r="X41" s="9"/>
      <c r="Y41" s="9"/>
      <c r="Z41" s="9"/>
      <c r="AA41" s="9"/>
      <c r="AB41" s="9"/>
      <c r="AC41" s="9"/>
      <c r="AD41" s="9"/>
    </row>
    <row r="42" spans="1:30" ht="14.25" customHeight="1" x14ac:dyDescent="0.3">
      <c r="A42" s="1"/>
      <c r="B42" s="35" t="s">
        <v>316</v>
      </c>
      <c r="C42" s="39">
        <f>C24/Assumptions!C92</f>
        <v>-1.6135972461273667E-2</v>
      </c>
      <c r="D42" s="39">
        <f>D24/Assumptions!C92</f>
        <v>-1.6135972461273667E-2</v>
      </c>
      <c r="E42" s="39">
        <f>E24/Assumptions!C92</f>
        <v>-1.6135972461273667E-2</v>
      </c>
      <c r="F42" s="39">
        <f>F24/Assumptions!C92</f>
        <v>-1.6135972461273667E-2</v>
      </c>
      <c r="G42" s="39">
        <f>G24/Assumptions!C92</f>
        <v>-1.6135972461273667E-2</v>
      </c>
      <c r="H42" s="9"/>
      <c r="I42" s="9"/>
      <c r="J42" s="9"/>
      <c r="K42" s="9"/>
      <c r="L42" s="9"/>
      <c r="M42" s="9"/>
      <c r="N42" s="9"/>
      <c r="O42" s="9"/>
      <c r="P42" s="9"/>
      <c r="Q42" s="9"/>
      <c r="R42" s="9"/>
      <c r="S42" s="9"/>
      <c r="T42" s="9"/>
      <c r="U42" s="9"/>
      <c r="V42" s="9"/>
      <c r="W42" s="9"/>
      <c r="X42" s="9"/>
      <c r="Y42" s="9"/>
      <c r="Z42" s="9"/>
      <c r="AA42" s="9"/>
      <c r="AB42" s="9"/>
      <c r="AC42" s="9"/>
      <c r="AD42" s="9"/>
    </row>
    <row r="43" spans="1:30" ht="14.25" customHeight="1" x14ac:dyDescent="0.3">
      <c r="A43" s="1"/>
      <c r="B43" s="35" t="s">
        <v>317</v>
      </c>
      <c r="C43" s="39">
        <f>Standalone_IS!C19/Assumptions!C92-Standalone_IS!C21</f>
        <v>-0.13613088718510369</v>
      </c>
      <c r="D43" s="39">
        <f>Standalone_IS!D19/Assumptions!C92-Standalone_IS!D21</f>
        <v>-0.1432112541073387</v>
      </c>
      <c r="E43" s="39">
        <f>Standalone_IS!E19/Assumptions!C92-Standalone_IS!E21</f>
        <v>-0.15063194824753623</v>
      </c>
      <c r="F43" s="39">
        <f>Standalone_IS!F19/Assumptions!C92-Standalone_IS!F21</f>
        <v>-0.15841067052300062</v>
      </c>
      <c r="G43" s="39">
        <f>Standalone_IS!G19/Assumptions!C92-Standalone_IS!G21</f>
        <v>-0.1665659726690869</v>
      </c>
      <c r="H43" s="9"/>
      <c r="I43" s="9"/>
      <c r="J43" s="9"/>
      <c r="K43" s="9"/>
      <c r="L43" s="9"/>
      <c r="M43" s="9"/>
      <c r="N43" s="9"/>
      <c r="O43" s="9"/>
      <c r="P43" s="9"/>
      <c r="Q43" s="9"/>
      <c r="R43" s="9"/>
      <c r="S43" s="9"/>
      <c r="T43" s="9"/>
      <c r="U43" s="9"/>
      <c r="V43" s="9"/>
      <c r="W43" s="9"/>
      <c r="X43" s="9"/>
      <c r="Y43" s="9"/>
      <c r="Z43" s="9"/>
      <c r="AA43" s="9"/>
      <c r="AB43" s="9"/>
      <c r="AC43" s="9"/>
      <c r="AD43" s="9"/>
    </row>
    <row r="44" spans="1:30" ht="14.25" customHeight="1" x14ac:dyDescent="0.3">
      <c r="A44" s="1"/>
      <c r="B44" s="1"/>
      <c r="C44" s="1"/>
      <c r="D44" s="1"/>
      <c r="E44" s="1"/>
      <c r="F44" s="1"/>
      <c r="G44" s="1"/>
      <c r="H44" s="9"/>
      <c r="I44" s="9"/>
      <c r="J44" s="9"/>
      <c r="K44" s="9"/>
      <c r="L44" s="9"/>
      <c r="M44" s="9"/>
      <c r="N44" s="9"/>
      <c r="O44" s="9"/>
      <c r="P44" s="9"/>
      <c r="Q44" s="9"/>
      <c r="R44" s="9"/>
      <c r="S44" s="9"/>
      <c r="T44" s="9"/>
      <c r="U44" s="9"/>
      <c r="V44" s="9"/>
      <c r="W44" s="9"/>
      <c r="X44" s="9"/>
      <c r="Y44" s="9"/>
      <c r="Z44" s="9"/>
      <c r="AA44" s="9"/>
      <c r="AB44" s="9"/>
      <c r="AC44" s="9"/>
      <c r="AD44" s="9"/>
    </row>
    <row r="45" spans="1:30" ht="14.25" customHeight="1" x14ac:dyDescent="0.3">
      <c r="A45" s="1"/>
      <c r="B45" s="36" t="s">
        <v>318</v>
      </c>
      <c r="C45" s="40">
        <f>SUM(C32:C43)</f>
        <v>22.1983557444062</v>
      </c>
      <c r="D45" s="40">
        <f>SUM(D32:D43)</f>
        <v>23.67807005163511</v>
      </c>
      <c r="E45" s="40">
        <f>SUM(E32:E43)</f>
        <v>25.241309093803785</v>
      </c>
      <c r="F45" s="40">
        <f>SUM(F32:F43)</f>
        <v>26.644302684797765</v>
      </c>
      <c r="G45" s="40">
        <f>SUM(G32:G43)</f>
        <v>28.003138542626981</v>
      </c>
      <c r="H45" s="9"/>
      <c r="I45" s="9"/>
      <c r="J45" s="9"/>
      <c r="K45" s="9"/>
      <c r="L45" s="9"/>
      <c r="M45" s="9"/>
      <c r="N45" s="9"/>
      <c r="O45" s="9"/>
      <c r="P45" s="9"/>
      <c r="Q45" s="9"/>
      <c r="R45" s="9"/>
      <c r="S45" s="9"/>
      <c r="T45" s="9"/>
      <c r="U45" s="9"/>
      <c r="V45" s="9"/>
      <c r="W45" s="9"/>
      <c r="X45" s="9"/>
      <c r="Y45" s="9"/>
      <c r="Z45" s="9"/>
      <c r="AA45" s="9"/>
      <c r="AB45" s="9"/>
      <c r="AC45" s="9"/>
      <c r="AD45" s="9"/>
    </row>
    <row r="46" spans="1:30" ht="14.25" customHeight="1" x14ac:dyDescent="0.3">
      <c r="A46" s="1"/>
      <c r="B46" s="36" t="s">
        <v>319</v>
      </c>
      <c r="C46" s="44">
        <f>C45-Pro_Forma_IS!C50</f>
        <v>0</v>
      </c>
      <c r="D46" s="44">
        <f>D45-Pro_Forma_IS!D50</f>
        <v>0</v>
      </c>
      <c r="E46" s="44">
        <f>E45-Pro_Forma_IS!E50</f>
        <v>0</v>
      </c>
      <c r="F46" s="44">
        <f>F45-Pro_Forma_IS!F50</f>
        <v>0</v>
      </c>
      <c r="G46" s="44">
        <f>G45-Pro_Forma_IS!G50</f>
        <v>0</v>
      </c>
      <c r="H46" s="9"/>
      <c r="I46" s="9"/>
      <c r="J46" s="9"/>
      <c r="K46" s="9"/>
      <c r="L46" s="9"/>
      <c r="M46" s="9"/>
      <c r="N46" s="9"/>
      <c r="O46" s="9"/>
      <c r="P46" s="9"/>
      <c r="Q46" s="9"/>
      <c r="R46" s="9"/>
      <c r="S46" s="9"/>
      <c r="T46" s="9"/>
      <c r="U46" s="9"/>
      <c r="V46" s="9"/>
      <c r="W46" s="9"/>
      <c r="X46" s="9"/>
      <c r="Y46" s="9"/>
      <c r="Z46" s="9"/>
      <c r="AA46" s="9"/>
      <c r="AB46" s="9"/>
      <c r="AC46" s="9"/>
      <c r="AD46" s="9"/>
    </row>
  </sheetData>
  <pageMargins left="0.75" right="0.75" top="1" bottom="1" header="0.511811023622047" footer="0.511811023622047"/>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AD47"/>
  </sheetPr>
  <dimension ref="A1:AD42"/>
  <sheetViews>
    <sheetView showGridLines="0" zoomScaleNormal="100" workbookViewId="0">
      <selection activeCell="Q1" sqref="Q1:AD3"/>
    </sheetView>
  </sheetViews>
  <sheetFormatPr defaultColWidth="8.59765625" defaultRowHeight="13.8" x14ac:dyDescent="0.25"/>
  <cols>
    <col min="1" max="1" width="1.8984375" customWidth="1"/>
    <col min="2" max="2" width="32" customWidth="1"/>
    <col min="3" max="7" width="16" customWidth="1"/>
  </cols>
  <sheetData>
    <row r="1" spans="1:30" ht="14.25" customHeight="1" x14ac:dyDescent="0.3">
      <c r="A1" s="86"/>
      <c r="B1" s="86"/>
      <c r="C1" s="86"/>
      <c r="D1" s="86"/>
      <c r="E1" s="86"/>
      <c r="F1" s="86"/>
      <c r="G1" s="86"/>
      <c r="H1" s="87"/>
      <c r="I1" s="87"/>
      <c r="J1" s="87"/>
      <c r="K1" s="87"/>
      <c r="L1" s="87"/>
      <c r="M1" s="87"/>
      <c r="N1" s="87"/>
      <c r="O1" s="87"/>
      <c r="P1" s="87"/>
      <c r="Q1" s="85"/>
      <c r="R1" s="85"/>
      <c r="S1" s="85"/>
      <c r="T1" s="85"/>
      <c r="U1" s="85"/>
      <c r="V1" s="85"/>
      <c r="W1" s="85"/>
      <c r="X1" s="85"/>
      <c r="Y1" s="85"/>
      <c r="Z1" s="85"/>
      <c r="AA1" s="85"/>
      <c r="AB1" s="85"/>
      <c r="AC1" s="85"/>
      <c r="AD1" s="85"/>
    </row>
    <row r="2" spans="1:30" ht="21.75" customHeight="1" x14ac:dyDescent="0.4">
      <c r="A2" s="86"/>
      <c r="B2" s="88" t="s">
        <v>320</v>
      </c>
      <c r="C2" s="86"/>
      <c r="D2" s="86"/>
      <c r="E2" s="86"/>
      <c r="F2" s="86"/>
      <c r="G2" s="86"/>
      <c r="H2" s="87"/>
      <c r="I2" s="87"/>
      <c r="J2" s="87"/>
      <c r="K2" s="87"/>
      <c r="L2" s="87"/>
      <c r="M2" s="87"/>
      <c r="N2" s="87"/>
      <c r="O2" s="87"/>
      <c r="P2" s="87"/>
      <c r="Q2" s="85"/>
      <c r="R2" s="85"/>
      <c r="S2" s="85"/>
      <c r="T2" s="85"/>
      <c r="U2" s="85"/>
      <c r="V2" s="85"/>
      <c r="W2" s="85"/>
      <c r="X2" s="85"/>
      <c r="Y2" s="85"/>
      <c r="Z2" s="85"/>
      <c r="AA2" s="85"/>
      <c r="AB2" s="85"/>
      <c r="AC2" s="85"/>
      <c r="AD2" s="85"/>
    </row>
    <row r="3" spans="1:30" ht="14.25" customHeight="1" x14ac:dyDescent="0.3">
      <c r="A3" s="86"/>
      <c r="B3" s="90" t="s">
        <v>321</v>
      </c>
      <c r="C3" s="86"/>
      <c r="D3" s="86"/>
      <c r="E3" s="86"/>
      <c r="F3" s="86"/>
      <c r="G3" s="86"/>
      <c r="H3" s="87"/>
      <c r="I3" s="87"/>
      <c r="J3" s="87"/>
      <c r="K3" s="87"/>
      <c r="L3" s="87"/>
      <c r="M3" s="87"/>
      <c r="N3" s="87"/>
      <c r="O3" s="87"/>
      <c r="P3" s="87"/>
      <c r="Q3" s="85"/>
      <c r="R3" s="85"/>
      <c r="S3" s="85"/>
      <c r="T3" s="85"/>
      <c r="U3" s="85"/>
      <c r="V3" s="85"/>
      <c r="W3" s="85"/>
      <c r="X3" s="85"/>
      <c r="Y3" s="85"/>
      <c r="Z3" s="85"/>
      <c r="AA3" s="85"/>
      <c r="AB3" s="85"/>
      <c r="AC3" s="85"/>
      <c r="AD3" s="85"/>
    </row>
    <row r="4" spans="1:30" ht="14.25" customHeight="1" x14ac:dyDescent="0.3">
      <c r="A4" s="1"/>
      <c r="B4" s="1"/>
      <c r="C4" s="1"/>
      <c r="D4" s="1"/>
      <c r="E4" s="1"/>
      <c r="F4" s="1"/>
      <c r="G4" s="1"/>
      <c r="H4" s="9"/>
      <c r="I4" s="9"/>
      <c r="J4" s="9"/>
      <c r="K4" s="9"/>
      <c r="L4" s="9"/>
      <c r="M4" s="9"/>
      <c r="N4" s="9"/>
      <c r="O4" s="9"/>
      <c r="P4" s="9"/>
      <c r="Q4" s="9"/>
      <c r="R4" s="9"/>
      <c r="S4" s="9"/>
      <c r="T4" s="9"/>
      <c r="U4" s="9"/>
      <c r="V4" s="9"/>
      <c r="W4" s="9"/>
      <c r="X4" s="9"/>
      <c r="Y4" s="9"/>
      <c r="Z4" s="9"/>
      <c r="AA4" s="9"/>
      <c r="AB4" s="9"/>
      <c r="AC4" s="9"/>
      <c r="AD4" s="9"/>
    </row>
    <row r="5" spans="1:30" ht="14.25" customHeight="1" x14ac:dyDescent="0.3">
      <c r="A5" s="1"/>
      <c r="B5" s="1"/>
      <c r="C5" s="1"/>
      <c r="D5" s="1"/>
      <c r="E5" s="1"/>
      <c r="F5" s="1"/>
      <c r="G5" s="1"/>
      <c r="H5" s="9"/>
      <c r="I5" s="9"/>
      <c r="J5" s="9"/>
      <c r="K5" s="9"/>
      <c r="L5" s="9"/>
      <c r="M5" s="9"/>
      <c r="N5" s="9"/>
      <c r="O5" s="9"/>
      <c r="P5" s="9"/>
      <c r="Q5" s="9"/>
      <c r="R5" s="9"/>
      <c r="S5" s="9"/>
      <c r="T5" s="9"/>
      <c r="U5" s="9"/>
      <c r="V5" s="9"/>
      <c r="W5" s="9"/>
      <c r="X5" s="9"/>
      <c r="Y5" s="9"/>
      <c r="Z5" s="9"/>
      <c r="AA5" s="9"/>
      <c r="AB5" s="9"/>
      <c r="AC5" s="9"/>
      <c r="AD5" s="9"/>
    </row>
    <row r="6" spans="1:30" ht="14.25" customHeight="1" x14ac:dyDescent="0.3">
      <c r="A6" s="1"/>
      <c r="B6" s="5" t="s">
        <v>67</v>
      </c>
      <c r="C6" s="28" t="s">
        <v>210</v>
      </c>
      <c r="D6" s="28" t="s">
        <v>211</v>
      </c>
      <c r="E6" s="28" t="s">
        <v>212</v>
      </c>
      <c r="F6" s="28" t="s">
        <v>213</v>
      </c>
      <c r="G6" s="28" t="s">
        <v>214</v>
      </c>
      <c r="H6" s="9"/>
      <c r="I6" s="9"/>
      <c r="J6" s="9"/>
      <c r="K6" s="9"/>
      <c r="L6" s="9"/>
      <c r="M6" s="9"/>
      <c r="N6" s="9"/>
      <c r="O6" s="9"/>
      <c r="P6" s="9"/>
      <c r="Q6" s="9"/>
      <c r="R6" s="9"/>
      <c r="S6" s="9"/>
      <c r="T6" s="9"/>
      <c r="U6" s="9"/>
      <c r="V6" s="9"/>
      <c r="W6" s="9"/>
      <c r="X6" s="9"/>
      <c r="Y6" s="9"/>
      <c r="Z6" s="9"/>
      <c r="AA6" s="9"/>
      <c r="AB6" s="9"/>
      <c r="AC6" s="9"/>
      <c r="AD6" s="9"/>
    </row>
    <row r="7" spans="1:30" ht="14.25" customHeight="1" x14ac:dyDescent="0.3">
      <c r="A7" s="1"/>
      <c r="B7" s="3" t="s">
        <v>322</v>
      </c>
      <c r="C7" s="34"/>
      <c r="D7" s="34"/>
      <c r="E7" s="34"/>
      <c r="F7" s="34"/>
      <c r="G7" s="34"/>
      <c r="H7" s="9"/>
      <c r="I7" s="9"/>
      <c r="J7" s="9"/>
      <c r="K7" s="9"/>
      <c r="L7" s="9"/>
      <c r="M7" s="9"/>
      <c r="N7" s="9"/>
      <c r="O7" s="9"/>
      <c r="P7" s="9"/>
      <c r="Q7" s="9"/>
      <c r="R7" s="9"/>
      <c r="S7" s="9"/>
      <c r="T7" s="9"/>
      <c r="U7" s="9"/>
      <c r="V7" s="9"/>
      <c r="W7" s="9"/>
      <c r="X7" s="9"/>
      <c r="Y7" s="9"/>
      <c r="Z7" s="9"/>
      <c r="AA7" s="9"/>
      <c r="AB7" s="9"/>
      <c r="AC7" s="9"/>
      <c r="AD7" s="9"/>
    </row>
    <row r="8" spans="1:30" ht="14.25" customHeight="1" x14ac:dyDescent="0.3">
      <c r="A8" s="1"/>
      <c r="B8" t="s">
        <v>323</v>
      </c>
      <c r="C8" s="27">
        <f>Assumptions!C91</f>
        <v>-35</v>
      </c>
      <c r="D8" s="27">
        <f>C11</f>
        <v>0</v>
      </c>
      <c r="E8" s="27">
        <f>D11</f>
        <v>3.5</v>
      </c>
      <c r="F8" s="27">
        <f>E11</f>
        <v>7</v>
      </c>
      <c r="G8" s="27">
        <f>F11</f>
        <v>10.5</v>
      </c>
      <c r="H8" s="9"/>
      <c r="I8" s="9"/>
      <c r="J8" s="9"/>
      <c r="K8" s="9"/>
      <c r="L8" s="9"/>
      <c r="M8" s="9"/>
      <c r="N8" s="9"/>
      <c r="O8" s="9"/>
      <c r="P8" s="9"/>
      <c r="Q8" s="9"/>
      <c r="R8" s="9"/>
      <c r="S8" s="9"/>
      <c r="T8" s="9"/>
      <c r="U8" s="9"/>
      <c r="V8" s="9"/>
      <c r="W8" s="9"/>
      <c r="X8" s="9"/>
      <c r="Y8" s="9"/>
      <c r="Z8" s="9"/>
      <c r="AA8" s="9"/>
      <c r="AB8" s="9"/>
      <c r="AC8" s="9"/>
      <c r="AD8" s="9"/>
    </row>
    <row r="9" spans="1:30" ht="14.25" customHeight="1" x14ac:dyDescent="0.3">
      <c r="A9" s="1"/>
      <c r="B9" s="35" t="s">
        <v>118</v>
      </c>
      <c r="C9" s="27">
        <f>-MIN(C8,Assumptions!C91*Assumptions!C45)</f>
        <v>35</v>
      </c>
      <c r="D9" s="27">
        <f>-MIN(D8,(Assumptions!C91*Assumptions!C45))</f>
        <v>3.5</v>
      </c>
      <c r="E9" s="27">
        <f>-MIN(E8,(Assumptions!C91*Assumptions!C45))</f>
        <v>3.5</v>
      </c>
      <c r="F9" s="27">
        <f>-MIN(F8,(Assumptions!C91*Assumptions!C45))</f>
        <v>3.5</v>
      </c>
      <c r="G9" s="27">
        <f>-MIN(G8,(Assumptions!C91*Assumptions!C45))</f>
        <v>3.5</v>
      </c>
      <c r="H9" s="9"/>
      <c r="I9" s="9"/>
      <c r="J9" s="9"/>
      <c r="K9" s="9"/>
      <c r="L9" s="9"/>
      <c r="M9" s="9"/>
      <c r="N9" s="9"/>
      <c r="O9" s="9"/>
      <c r="P9" s="9"/>
      <c r="Q9" s="9"/>
      <c r="R9" s="9"/>
      <c r="S9" s="9"/>
      <c r="T9" s="9"/>
      <c r="U9" s="9"/>
      <c r="V9" s="9"/>
      <c r="W9" s="9"/>
      <c r="X9" s="9"/>
      <c r="Y9" s="9"/>
      <c r="Z9" s="9"/>
      <c r="AA9" s="9"/>
      <c r="AB9" s="9"/>
      <c r="AC9" s="9"/>
      <c r="AD9" s="9"/>
    </row>
    <row r="10" spans="1:30" ht="14.25" customHeight="1" x14ac:dyDescent="0.3">
      <c r="A10" s="1"/>
      <c r="B10" s="35" t="s">
        <v>324</v>
      </c>
      <c r="C10" s="27">
        <f>IF(1=Assumptions!C44,-(C8+C9),0)</f>
        <v>0</v>
      </c>
      <c r="D10" s="27">
        <f>IF(2=Assumptions!C44,-(D8+D9),0)</f>
        <v>0</v>
      </c>
      <c r="E10" s="27">
        <f>IF(3=Assumptions!C44,-(E8+E9),0)</f>
        <v>0</v>
      </c>
      <c r="F10" s="27">
        <f>IF(4=Assumptions!C44,-(F8+F9),0)</f>
        <v>0</v>
      </c>
      <c r="G10" s="27">
        <f>IF(5=Assumptions!C44,-(G8+G9),0)</f>
        <v>0</v>
      </c>
      <c r="H10" s="9"/>
      <c r="I10" s="9"/>
      <c r="J10" s="9"/>
      <c r="K10" s="9"/>
      <c r="L10" s="9"/>
      <c r="M10" s="9"/>
      <c r="N10" s="9"/>
      <c r="O10" s="9"/>
      <c r="P10" s="9"/>
      <c r="Q10" s="9"/>
      <c r="R10" s="9"/>
      <c r="S10" s="9"/>
      <c r="T10" s="9"/>
      <c r="U10" s="9"/>
      <c r="V10" s="9"/>
      <c r="W10" s="9"/>
      <c r="X10" s="9"/>
      <c r="Y10" s="9"/>
      <c r="Z10" s="9"/>
      <c r="AA10" s="9"/>
      <c r="AB10" s="9"/>
      <c r="AC10" s="9"/>
      <c r="AD10" s="9"/>
    </row>
    <row r="11" spans="1:30" ht="14.25" customHeight="1" x14ac:dyDescent="0.3">
      <c r="A11" s="1"/>
      <c r="B11" s="36" t="s">
        <v>325</v>
      </c>
      <c r="C11" s="37">
        <f>C8+C9+C10</f>
        <v>0</v>
      </c>
      <c r="D11" s="37">
        <f>D8+D9+D10</f>
        <v>3.5</v>
      </c>
      <c r="E11" s="37">
        <f>E8+E9+E10</f>
        <v>7</v>
      </c>
      <c r="F11" s="37">
        <f>F8+F9+F10</f>
        <v>10.5</v>
      </c>
      <c r="G11" s="37">
        <f>G8+G9+G10</f>
        <v>14</v>
      </c>
      <c r="H11" s="9"/>
      <c r="I11" s="9"/>
      <c r="J11" s="9"/>
      <c r="K11" s="9"/>
      <c r="L11" s="9"/>
      <c r="M11" s="9"/>
      <c r="N11" s="9"/>
      <c r="O11" s="9"/>
      <c r="P11" s="9"/>
      <c r="Q11" s="9"/>
      <c r="R11" s="9"/>
      <c r="S11" s="9"/>
      <c r="T11" s="9"/>
      <c r="U11" s="9"/>
      <c r="V11" s="9"/>
      <c r="W11" s="9"/>
      <c r="X11" s="9"/>
      <c r="Y11" s="9"/>
      <c r="Z11" s="9"/>
      <c r="AA11" s="9"/>
      <c r="AB11" s="9"/>
      <c r="AC11" s="9"/>
      <c r="AD11" s="9"/>
    </row>
    <row r="12" spans="1:30" ht="14.25" customHeight="1" x14ac:dyDescent="0.3">
      <c r="A12" s="1"/>
      <c r="B12" s="35" t="s">
        <v>73</v>
      </c>
      <c r="C12" s="27">
        <f>C8*Assumptions!C43</f>
        <v>-1.925</v>
      </c>
      <c r="D12" s="27">
        <f>D8*Assumptions!C43</f>
        <v>0</v>
      </c>
      <c r="E12" s="27">
        <f>E8*Assumptions!C43</f>
        <v>0.1925</v>
      </c>
      <c r="F12" s="27">
        <f>F8*Assumptions!C43</f>
        <v>0.38500000000000001</v>
      </c>
      <c r="G12" s="27">
        <f>G8*Assumptions!C43</f>
        <v>0.57750000000000001</v>
      </c>
      <c r="H12" s="9"/>
      <c r="I12" s="9"/>
      <c r="J12" s="9"/>
      <c r="K12" s="9"/>
      <c r="L12" s="9"/>
      <c r="M12" s="9"/>
      <c r="N12" s="9"/>
      <c r="O12" s="9"/>
      <c r="P12" s="9"/>
      <c r="Q12" s="9"/>
      <c r="R12" s="9"/>
      <c r="S12" s="9"/>
      <c r="T12" s="9"/>
      <c r="U12" s="9"/>
      <c r="V12" s="9"/>
      <c r="W12" s="9"/>
      <c r="X12" s="9"/>
      <c r="Y12" s="9"/>
      <c r="Z12" s="9"/>
      <c r="AA12" s="9"/>
      <c r="AB12" s="9"/>
      <c r="AC12" s="9"/>
      <c r="AD12" s="9"/>
    </row>
    <row r="13" spans="1:30" ht="14.25" customHeight="1" x14ac:dyDescent="0.3">
      <c r="A13" s="1"/>
      <c r="B13" s="1"/>
      <c r="C13" s="1"/>
      <c r="D13" s="1"/>
      <c r="E13" s="1"/>
      <c r="F13" s="1"/>
      <c r="G13" s="1"/>
      <c r="H13" s="9"/>
      <c r="I13" s="9"/>
      <c r="J13" s="9"/>
      <c r="K13" s="9"/>
      <c r="L13" s="9"/>
      <c r="M13" s="9"/>
      <c r="N13" s="9"/>
      <c r="O13" s="9"/>
      <c r="P13" s="9"/>
      <c r="Q13" s="9"/>
      <c r="R13" s="9"/>
      <c r="S13" s="9"/>
      <c r="T13" s="9"/>
      <c r="U13" s="9"/>
      <c r="V13" s="9"/>
      <c r="W13" s="9"/>
      <c r="X13" s="9"/>
      <c r="Y13" s="9"/>
      <c r="Z13" s="9"/>
      <c r="AA13" s="9"/>
      <c r="AB13" s="9"/>
      <c r="AC13" s="9"/>
      <c r="AD13" s="9"/>
    </row>
    <row r="14" spans="1:30" ht="14.25" customHeight="1" x14ac:dyDescent="0.3">
      <c r="A14" s="1"/>
      <c r="B14" s="3" t="s">
        <v>255</v>
      </c>
      <c r="C14" s="34"/>
      <c r="D14" s="34"/>
      <c r="E14" s="34"/>
      <c r="F14" s="34"/>
      <c r="G14" s="34"/>
      <c r="H14" s="9"/>
      <c r="I14" s="9"/>
      <c r="J14" s="9"/>
      <c r="K14" s="9"/>
      <c r="L14" s="9"/>
      <c r="M14" s="9"/>
      <c r="N14" s="9"/>
      <c r="O14" s="9"/>
      <c r="P14" s="9"/>
      <c r="Q14" s="9"/>
      <c r="R14" s="9"/>
      <c r="S14" s="9"/>
      <c r="T14" s="9"/>
      <c r="U14" s="9"/>
      <c r="V14" s="9"/>
      <c r="W14" s="9"/>
      <c r="X14" s="9"/>
      <c r="Y14" s="9"/>
      <c r="Z14" s="9"/>
      <c r="AA14" s="9"/>
      <c r="AB14" s="9"/>
      <c r="AC14" s="9"/>
      <c r="AD14" s="9"/>
    </row>
    <row r="15" spans="1:30" ht="14.25" customHeight="1" x14ac:dyDescent="0.3">
      <c r="A15" s="1"/>
      <c r="B15" t="s">
        <v>323</v>
      </c>
      <c r="C15" s="27">
        <f>Assumptions!C15</f>
        <v>5000</v>
      </c>
      <c r="D15" s="27">
        <f>C17</f>
        <v>4750</v>
      </c>
      <c r="E15" s="27">
        <f>D17</f>
        <v>4512.5</v>
      </c>
      <c r="F15" s="27">
        <f>E17</f>
        <v>4286.875</v>
      </c>
      <c r="G15" s="27">
        <f>F17</f>
        <v>4072.53125</v>
      </c>
      <c r="H15" s="9"/>
      <c r="I15" s="9"/>
      <c r="J15" s="9"/>
      <c r="K15" s="9"/>
      <c r="L15" s="9"/>
      <c r="M15" s="9"/>
      <c r="N15" s="9"/>
      <c r="O15" s="9"/>
      <c r="P15" s="9"/>
      <c r="Q15" s="9"/>
      <c r="R15" s="9"/>
      <c r="S15" s="9"/>
      <c r="T15" s="9"/>
      <c r="U15" s="9"/>
      <c r="V15" s="9"/>
      <c r="W15" s="9"/>
      <c r="X15" s="9"/>
      <c r="Y15" s="9"/>
      <c r="Z15" s="9"/>
      <c r="AA15" s="9"/>
      <c r="AB15" s="9"/>
      <c r="AC15" s="9"/>
      <c r="AD15" s="9"/>
    </row>
    <row r="16" spans="1:30" ht="14.25" customHeight="1" x14ac:dyDescent="0.3">
      <c r="A16" s="1"/>
      <c r="B16" s="35" t="s">
        <v>118</v>
      </c>
      <c r="C16" s="27">
        <f>-C15*Assumptions!C11</f>
        <v>-250</v>
      </c>
      <c r="D16" s="27">
        <f>-D15*Assumptions!C11</f>
        <v>-237.5</v>
      </c>
      <c r="E16" s="27">
        <f>-E15*Assumptions!C11</f>
        <v>-225.625</v>
      </c>
      <c r="F16" s="27">
        <f>-F15*Assumptions!C11</f>
        <v>-214.34375</v>
      </c>
      <c r="G16" s="27">
        <f>-G15*Assumptions!C11</f>
        <v>-203.62656250000001</v>
      </c>
      <c r="H16" s="9"/>
      <c r="I16" s="9"/>
      <c r="J16" s="9"/>
      <c r="K16" s="9"/>
      <c r="L16" s="9"/>
      <c r="M16" s="9"/>
      <c r="N16" s="9"/>
      <c r="O16" s="9"/>
      <c r="P16" s="9"/>
      <c r="Q16" s="9"/>
      <c r="R16" s="9"/>
      <c r="S16" s="9"/>
      <c r="T16" s="9"/>
      <c r="U16" s="9"/>
      <c r="V16" s="9"/>
      <c r="W16" s="9"/>
      <c r="X16" s="9"/>
      <c r="Y16" s="9"/>
      <c r="Z16" s="9"/>
      <c r="AA16" s="9"/>
      <c r="AB16" s="9"/>
      <c r="AC16" s="9"/>
      <c r="AD16" s="9"/>
    </row>
    <row r="17" spans="1:30" ht="14.25" customHeight="1" x14ac:dyDescent="0.3">
      <c r="A17" s="1"/>
      <c r="B17" s="36" t="s">
        <v>325</v>
      </c>
      <c r="C17" s="37">
        <f>C15+C16</f>
        <v>4750</v>
      </c>
      <c r="D17" s="37">
        <f>D15+D16</f>
        <v>4512.5</v>
      </c>
      <c r="E17" s="37">
        <f>E15+E16</f>
        <v>4286.875</v>
      </c>
      <c r="F17" s="37">
        <f>F15+F16</f>
        <v>4072.53125</v>
      </c>
      <c r="G17" s="37">
        <f>G15+G16</f>
        <v>3868.9046874999999</v>
      </c>
      <c r="H17" s="9"/>
      <c r="I17" s="9"/>
      <c r="J17" s="9"/>
      <c r="K17" s="9"/>
      <c r="L17" s="9"/>
      <c r="M17" s="9"/>
      <c r="N17" s="9"/>
      <c r="O17" s="9"/>
      <c r="P17" s="9"/>
      <c r="Q17" s="9"/>
      <c r="R17" s="9"/>
      <c r="S17" s="9"/>
      <c r="T17" s="9"/>
      <c r="U17" s="9"/>
      <c r="V17" s="9"/>
      <c r="W17" s="9"/>
      <c r="X17" s="9"/>
      <c r="Y17" s="9"/>
      <c r="Z17" s="9"/>
      <c r="AA17" s="9"/>
      <c r="AB17" s="9"/>
      <c r="AC17" s="9"/>
      <c r="AD17" s="9"/>
    </row>
    <row r="18" spans="1:30" ht="14.25" customHeight="1" x14ac:dyDescent="0.3">
      <c r="A18" s="1"/>
      <c r="B18" s="35" t="s">
        <v>73</v>
      </c>
      <c r="C18" s="27">
        <f>C15*(Assumptions!C10/Assumptions!C15)</f>
        <v>200</v>
      </c>
      <c r="D18" s="27">
        <f>D15*(Assumptions!C10/Assumptions!C15)</f>
        <v>190</v>
      </c>
      <c r="E18" s="27">
        <f>E15*(Assumptions!C10/Assumptions!C15)</f>
        <v>180.5</v>
      </c>
      <c r="F18" s="27">
        <f>F15*(Assumptions!C10/Assumptions!C15)</f>
        <v>171.47499999999999</v>
      </c>
      <c r="G18" s="27">
        <f>G15*(Assumptions!C10/Assumptions!C15)</f>
        <v>162.90125</v>
      </c>
      <c r="H18" s="9"/>
      <c r="I18" s="9"/>
      <c r="J18" s="9"/>
      <c r="K18" s="9"/>
      <c r="L18" s="9"/>
      <c r="M18" s="9"/>
      <c r="N18" s="9"/>
      <c r="O18" s="9"/>
      <c r="P18" s="9"/>
      <c r="Q18" s="9"/>
      <c r="R18" s="9"/>
      <c r="S18" s="9"/>
      <c r="T18" s="9"/>
      <c r="U18" s="9"/>
      <c r="V18" s="9"/>
      <c r="W18" s="9"/>
      <c r="X18" s="9"/>
      <c r="Y18" s="9"/>
      <c r="Z18" s="9"/>
      <c r="AA18" s="9"/>
      <c r="AB18" s="9"/>
      <c r="AC18" s="9"/>
      <c r="AD18" s="9"/>
    </row>
    <row r="19" spans="1:30" ht="14.25" customHeight="1" x14ac:dyDescent="0.3">
      <c r="A19" s="1"/>
      <c r="B19" s="1"/>
      <c r="C19" s="1"/>
      <c r="D19" s="1"/>
      <c r="E19" s="1"/>
      <c r="F19" s="1"/>
      <c r="G19" s="1"/>
      <c r="H19" s="9"/>
      <c r="I19" s="9"/>
      <c r="J19" s="9"/>
      <c r="K19" s="9"/>
      <c r="L19" s="9"/>
      <c r="M19" s="9"/>
      <c r="N19" s="9"/>
      <c r="O19" s="9"/>
      <c r="P19" s="9"/>
      <c r="Q19" s="9"/>
      <c r="R19" s="9"/>
      <c r="S19" s="9"/>
      <c r="T19" s="9"/>
      <c r="U19" s="9"/>
      <c r="V19" s="9"/>
      <c r="W19" s="9"/>
      <c r="X19" s="9"/>
      <c r="Y19" s="9"/>
      <c r="Z19" s="9"/>
      <c r="AA19" s="9"/>
      <c r="AB19" s="9"/>
      <c r="AC19" s="9"/>
      <c r="AD19" s="9"/>
    </row>
    <row r="20" spans="1:30" ht="14.25" customHeight="1" x14ac:dyDescent="0.3">
      <c r="A20" s="1"/>
      <c r="B20" s="3" t="s">
        <v>326</v>
      </c>
      <c r="C20" s="34"/>
      <c r="D20" s="34"/>
      <c r="E20" s="34"/>
      <c r="F20" s="34"/>
      <c r="G20" s="34"/>
      <c r="H20" s="9"/>
      <c r="I20" s="9"/>
      <c r="J20" s="9"/>
      <c r="K20" s="9"/>
      <c r="L20" s="9"/>
      <c r="M20" s="9"/>
      <c r="N20" s="9"/>
      <c r="O20" s="9"/>
      <c r="P20" s="9"/>
      <c r="Q20" s="9"/>
      <c r="R20" s="9"/>
      <c r="S20" s="9"/>
      <c r="T20" s="9"/>
      <c r="U20" s="9"/>
      <c r="V20" s="9"/>
      <c r="W20" s="9"/>
      <c r="X20" s="9"/>
      <c r="Y20" s="9"/>
      <c r="Z20" s="9"/>
      <c r="AA20" s="9"/>
      <c r="AB20" s="9"/>
      <c r="AC20" s="9"/>
      <c r="AD20" s="9"/>
    </row>
    <row r="21" spans="1:30" ht="14.25" customHeight="1" x14ac:dyDescent="0.3">
      <c r="A21" s="1"/>
      <c r="B21" s="29" t="s">
        <v>327</v>
      </c>
      <c r="C21" s="30">
        <f t="shared" ref="C21:G22" si="0">C11+C17</f>
        <v>4750</v>
      </c>
      <c r="D21" s="30">
        <f>D11+D17</f>
        <v>4516</v>
      </c>
      <c r="E21" s="30">
        <f t="shared" si="0"/>
        <v>4293.875</v>
      </c>
      <c r="F21" s="30">
        <f t="shared" si="0"/>
        <v>4083.03125</v>
      </c>
      <c r="G21" s="30">
        <f t="shared" si="0"/>
        <v>3882.9046874999999</v>
      </c>
      <c r="H21" s="9"/>
      <c r="I21" s="9"/>
      <c r="J21" s="9"/>
      <c r="K21" s="9"/>
      <c r="L21" s="9"/>
      <c r="M21" s="9"/>
      <c r="N21" s="9"/>
      <c r="O21" s="9"/>
      <c r="P21" s="9"/>
      <c r="Q21" s="9"/>
      <c r="R21" s="9"/>
      <c r="S21" s="9"/>
      <c r="T21" s="9"/>
      <c r="U21" s="9"/>
      <c r="V21" s="9"/>
      <c r="W21" s="9"/>
      <c r="X21" s="9"/>
      <c r="Y21" s="9"/>
      <c r="Z21" s="9"/>
      <c r="AA21" s="9"/>
      <c r="AB21" s="9"/>
      <c r="AC21" s="9"/>
      <c r="AD21" s="9"/>
    </row>
    <row r="22" spans="1:30" ht="14.25" customHeight="1" x14ac:dyDescent="0.3">
      <c r="A22" s="1"/>
      <c r="B22" s="36" t="s">
        <v>328</v>
      </c>
      <c r="C22" s="37">
        <f t="shared" si="0"/>
        <v>198.07499999999999</v>
      </c>
      <c r="D22" s="37">
        <f t="shared" si="0"/>
        <v>190</v>
      </c>
      <c r="E22" s="37">
        <f>E12+E18</f>
        <v>180.6925</v>
      </c>
      <c r="F22" s="37">
        <f t="shared" si="0"/>
        <v>171.85999999999999</v>
      </c>
      <c r="G22" s="37">
        <f t="shared" si="0"/>
        <v>163.47874999999999</v>
      </c>
      <c r="H22" s="9"/>
      <c r="I22" s="9"/>
      <c r="J22" s="9"/>
      <c r="K22" s="9"/>
      <c r="L22" s="9"/>
      <c r="M22" s="9"/>
      <c r="N22" s="9"/>
      <c r="O22" s="9"/>
      <c r="P22" s="9"/>
      <c r="Q22" s="9"/>
      <c r="R22" s="9"/>
      <c r="S22" s="9"/>
      <c r="T22" s="9"/>
      <c r="U22" s="9"/>
      <c r="V22" s="9"/>
      <c r="W22" s="9"/>
      <c r="X22" s="9"/>
      <c r="Y22" s="9"/>
      <c r="Z22" s="9"/>
      <c r="AA22" s="9"/>
      <c r="AB22" s="9"/>
      <c r="AC22" s="9"/>
      <c r="AD22" s="9"/>
    </row>
    <row r="23" spans="1:30" ht="14.25" customHeight="1" x14ac:dyDescent="0.3">
      <c r="A23" s="1"/>
      <c r="B23" s="1"/>
      <c r="C23" s="1"/>
      <c r="D23" s="1"/>
      <c r="E23" s="1"/>
      <c r="F23" s="1"/>
      <c r="G23" s="1"/>
      <c r="H23" s="9"/>
      <c r="I23" s="9"/>
      <c r="J23" s="9"/>
      <c r="K23" s="9"/>
      <c r="L23" s="9"/>
      <c r="M23" s="9"/>
      <c r="N23" s="9"/>
      <c r="O23" s="9"/>
      <c r="P23" s="9"/>
      <c r="Q23" s="9"/>
      <c r="R23" s="9"/>
      <c r="S23" s="9"/>
      <c r="T23" s="9"/>
      <c r="U23" s="9"/>
      <c r="V23" s="9"/>
      <c r="W23" s="9"/>
      <c r="X23" s="9"/>
      <c r="Y23" s="9"/>
      <c r="Z23" s="9"/>
      <c r="AA23" s="9"/>
      <c r="AB23" s="9"/>
      <c r="AC23" s="9"/>
      <c r="AD23" s="9"/>
    </row>
    <row r="24" spans="1:30" ht="14.25" customHeight="1" x14ac:dyDescent="0.3">
      <c r="A24" s="1"/>
      <c r="B24" s="3" t="s">
        <v>329</v>
      </c>
      <c r="C24" s="34"/>
      <c r="D24" s="34"/>
      <c r="E24" s="34"/>
      <c r="F24" s="34"/>
      <c r="G24" s="34"/>
      <c r="H24" s="9"/>
      <c r="I24" s="9"/>
      <c r="J24" s="9"/>
      <c r="K24" s="9"/>
      <c r="L24" s="9"/>
      <c r="M24" s="9"/>
      <c r="N24" s="9"/>
      <c r="O24" s="9"/>
      <c r="P24" s="9"/>
      <c r="Q24" s="9"/>
      <c r="R24" s="9"/>
      <c r="S24" s="9"/>
      <c r="T24" s="9"/>
      <c r="U24" s="9"/>
      <c r="V24" s="9"/>
      <c r="W24" s="9"/>
      <c r="X24" s="9"/>
      <c r="Y24" s="9"/>
      <c r="Z24" s="9"/>
      <c r="AA24" s="9"/>
      <c r="AB24" s="9"/>
      <c r="AC24" s="9"/>
      <c r="AD24" s="9"/>
    </row>
    <row r="25" spans="1:30" ht="14.25" customHeight="1" x14ac:dyDescent="0.3">
      <c r="A25" s="1"/>
      <c r="B25" t="s">
        <v>330</v>
      </c>
      <c r="C25" s="27">
        <f>Pro_Forma_IS!C27</f>
        <v>12187.3</v>
      </c>
      <c r="D25" s="27">
        <f>Pro_Forma_IS!D27</f>
        <v>12843.734</v>
      </c>
      <c r="E25" s="27">
        <f>Pro_Forma_IS!E27</f>
        <v>13530.770220000002</v>
      </c>
      <c r="F25" s="27">
        <f>Pro_Forma_IS!F27</f>
        <v>14249.951212599999</v>
      </c>
      <c r="G25" s="27">
        <f>Pro_Forma_IS!G27</f>
        <v>14955.397653358001</v>
      </c>
      <c r="H25" s="9"/>
      <c r="I25" s="9"/>
      <c r="J25" s="9"/>
      <c r="K25" s="9"/>
      <c r="L25" s="9"/>
      <c r="M25" s="9"/>
      <c r="N25" s="9"/>
      <c r="O25" s="9"/>
      <c r="P25" s="9"/>
      <c r="Q25" s="9"/>
      <c r="R25" s="9"/>
      <c r="S25" s="9"/>
      <c r="T25" s="9"/>
      <c r="U25" s="9"/>
      <c r="V25" s="9"/>
      <c r="W25" s="9"/>
      <c r="X25" s="9"/>
      <c r="Y25" s="9"/>
      <c r="Z25" s="9"/>
      <c r="AA25" s="9"/>
      <c r="AB25" s="9"/>
      <c r="AC25" s="9"/>
      <c r="AD25" s="9"/>
    </row>
    <row r="26" spans="1:30" ht="14.25" customHeight="1" x14ac:dyDescent="0.3">
      <c r="A26" s="1"/>
      <c r="B26" s="1"/>
      <c r="C26" s="1"/>
      <c r="D26" s="1"/>
      <c r="E26" s="1"/>
      <c r="F26" s="1"/>
      <c r="G26" s="1"/>
      <c r="H26" s="9"/>
      <c r="I26" s="9"/>
      <c r="J26" s="9"/>
      <c r="K26" s="9"/>
      <c r="L26" s="9"/>
      <c r="M26" s="9"/>
      <c r="N26" s="9"/>
      <c r="O26" s="9"/>
      <c r="P26" s="9"/>
      <c r="Q26" s="9"/>
      <c r="R26" s="9"/>
      <c r="S26" s="9"/>
      <c r="T26" s="9"/>
      <c r="U26" s="9"/>
      <c r="V26" s="9"/>
      <c r="W26" s="9"/>
      <c r="X26" s="9"/>
      <c r="Y26" s="9"/>
      <c r="Z26" s="9"/>
      <c r="AA26" s="9"/>
      <c r="AB26" s="9"/>
      <c r="AC26" s="9"/>
      <c r="AD26" s="9"/>
    </row>
    <row r="27" spans="1:30" ht="14.25" customHeight="1" x14ac:dyDescent="0.3">
      <c r="A27" s="1"/>
      <c r="B27" t="s">
        <v>43</v>
      </c>
      <c r="C27" s="45">
        <f>IF(C25=0,0,C21/C25)</f>
        <v>0.38974998564079005</v>
      </c>
      <c r="D27" s="45">
        <f>IF(D25=0,0,D21/D25)</f>
        <v>0.35161114361290879</v>
      </c>
      <c r="E27" s="45">
        <f>IF(E25=0,0,E21/E25)</f>
        <v>0.3173415060772497</v>
      </c>
      <c r="F27" s="45">
        <f>IF(F25=0,0,F21/F25)</f>
        <v>0.28652948975640902</v>
      </c>
      <c r="G27" s="45">
        <f>IF(G25=0,0,G21/G25)</f>
        <v>0.25963232656860546</v>
      </c>
      <c r="H27" s="9"/>
      <c r="I27" s="9"/>
      <c r="J27" s="9"/>
      <c r="K27" s="9"/>
      <c r="L27" s="9"/>
      <c r="M27" s="9"/>
      <c r="N27" s="9"/>
      <c r="O27" s="9"/>
      <c r="P27" s="9"/>
      <c r="Q27" s="9"/>
      <c r="R27" s="9"/>
      <c r="S27" s="9"/>
      <c r="T27" s="9"/>
      <c r="U27" s="9"/>
      <c r="V27" s="9"/>
      <c r="W27" s="9"/>
      <c r="X27" s="9"/>
      <c r="Y27" s="9"/>
      <c r="Z27" s="9"/>
      <c r="AA27" s="9"/>
      <c r="AB27" s="9"/>
      <c r="AC27" s="9"/>
      <c r="AD27" s="9"/>
    </row>
    <row r="28" spans="1:30" ht="14.25" customHeight="1" x14ac:dyDescent="0.3">
      <c r="A28" s="1"/>
      <c r="B28" t="s">
        <v>331</v>
      </c>
      <c r="C28" s="45">
        <f>IF(Pro_Forma_IS!C39=0,0,C25/C22)</f>
        <v>61.528713871008456</v>
      </c>
      <c r="D28" s="45">
        <f>IF(Pro_Forma_IS!D39=0,0,D25/D22)</f>
        <v>67.598600000000005</v>
      </c>
      <c r="E28" s="45">
        <f>IF(Pro_Forma_IS!E39=0,0,E25/E22)</f>
        <v>74.882854684062721</v>
      </c>
      <c r="F28" s="45">
        <f>IF(Pro_Forma_IS!F39=0,0,F25/F22)</f>
        <v>82.916043364366345</v>
      </c>
      <c r="G28" s="45">
        <f>IF(Pro_Forma_IS!G39=0,0,G25/G22)</f>
        <v>91.48221192881644</v>
      </c>
      <c r="H28" s="9"/>
      <c r="I28" s="9"/>
      <c r="J28" s="9"/>
      <c r="K28" s="9"/>
      <c r="L28" s="9"/>
      <c r="M28" s="9"/>
      <c r="N28" s="9"/>
      <c r="O28" s="9"/>
      <c r="P28" s="9"/>
      <c r="Q28" s="9"/>
      <c r="R28" s="9"/>
      <c r="S28" s="9"/>
      <c r="T28" s="9"/>
      <c r="U28" s="9"/>
      <c r="V28" s="9"/>
      <c r="W28" s="9"/>
      <c r="X28" s="9"/>
      <c r="Y28" s="9"/>
      <c r="Z28" s="9"/>
      <c r="AA28" s="9"/>
      <c r="AB28" s="9"/>
      <c r="AC28" s="9"/>
      <c r="AD28" s="9"/>
    </row>
    <row r="29" spans="1:30" ht="14.25" customHeight="1" x14ac:dyDescent="0.3">
      <c r="A29" s="1"/>
      <c r="B29" s="1"/>
      <c r="C29" s="1"/>
      <c r="D29" s="1"/>
      <c r="E29" s="1"/>
      <c r="F29" s="1"/>
      <c r="G29" s="1"/>
      <c r="H29" s="9"/>
      <c r="I29" s="9"/>
      <c r="J29" s="9"/>
      <c r="K29" s="9"/>
      <c r="L29" s="9"/>
      <c r="M29" s="9"/>
      <c r="N29" s="9"/>
      <c r="O29" s="9"/>
      <c r="P29" s="9"/>
      <c r="Q29" s="9"/>
      <c r="R29" s="9"/>
      <c r="S29" s="9"/>
      <c r="T29" s="9"/>
      <c r="U29" s="9"/>
      <c r="V29" s="9"/>
      <c r="W29" s="9"/>
      <c r="X29" s="9"/>
      <c r="Y29" s="9"/>
      <c r="Z29" s="9"/>
      <c r="AA29" s="9"/>
      <c r="AB29" s="9"/>
      <c r="AC29" s="9"/>
      <c r="AD29" s="9"/>
    </row>
    <row r="30" spans="1:30" ht="14.25" customHeight="1" x14ac:dyDescent="0.3">
      <c r="A30" s="1"/>
      <c r="B30" s="3" t="s">
        <v>332</v>
      </c>
      <c r="C30" s="34"/>
      <c r="D30" s="34"/>
      <c r="E30" s="34"/>
      <c r="F30" s="34"/>
      <c r="G30" s="34"/>
      <c r="H30" s="9"/>
      <c r="I30" s="9"/>
      <c r="J30" s="9"/>
      <c r="K30" s="9"/>
      <c r="L30" s="9"/>
      <c r="M30" s="9"/>
      <c r="N30" s="9"/>
      <c r="O30" s="9"/>
      <c r="P30" s="9"/>
      <c r="Q30" s="9"/>
      <c r="R30" s="9"/>
      <c r="S30" s="9"/>
      <c r="T30" s="9"/>
      <c r="U30" s="9"/>
      <c r="V30" s="9"/>
      <c r="W30" s="9"/>
      <c r="X30" s="9"/>
      <c r="Y30" s="9"/>
      <c r="Z30" s="9"/>
      <c r="AA30" s="9"/>
      <c r="AB30" s="9"/>
      <c r="AC30" s="9"/>
      <c r="AD30" s="9"/>
    </row>
    <row r="31" spans="1:30" ht="14.25" customHeight="1" x14ac:dyDescent="0.3">
      <c r="A31" s="1"/>
      <c r="B31" t="s">
        <v>333</v>
      </c>
      <c r="C31" s="27">
        <f>Assumptions!C13*Assumptions!C14+Assumptions!C89</f>
        <v>149400</v>
      </c>
      <c r="D31" s="27">
        <f>C34</f>
        <v>155295.88328571428</v>
      </c>
      <c r="E31" s="27">
        <f>D34</f>
        <v>161584.77869142857</v>
      </c>
      <c r="F31" s="27">
        <f>E34</f>
        <v>168288.87038674287</v>
      </c>
      <c r="G31" s="27">
        <f>F34</f>
        <v>175365.59717982516</v>
      </c>
      <c r="H31" s="9"/>
      <c r="I31" s="9"/>
      <c r="J31" s="9"/>
      <c r="K31" s="9"/>
      <c r="L31" s="9"/>
      <c r="M31" s="9"/>
      <c r="N31" s="9"/>
      <c r="O31" s="9"/>
      <c r="P31" s="9"/>
      <c r="Q31" s="9"/>
      <c r="R31" s="9"/>
      <c r="S31" s="9"/>
      <c r="T31" s="9"/>
      <c r="U31" s="9"/>
      <c r="V31" s="9"/>
      <c r="W31" s="9"/>
      <c r="X31" s="9"/>
      <c r="Y31" s="9"/>
      <c r="Z31" s="9"/>
      <c r="AA31" s="9"/>
      <c r="AB31" s="9"/>
      <c r="AC31" s="9"/>
      <c r="AD31" s="9"/>
    </row>
    <row r="32" spans="1:30" ht="14.25" customHeight="1" x14ac:dyDescent="0.3">
      <c r="A32" s="1"/>
      <c r="B32" s="35" t="s">
        <v>262</v>
      </c>
      <c r="C32" s="27">
        <f>Pro_Forma_IS!C48</f>
        <v>7369.8541071428554</v>
      </c>
      <c r="D32" s="27">
        <f>Pro_Forma_IS!D48</f>
        <v>7861.1192571428583</v>
      </c>
      <c r="E32" s="27">
        <f>Pro_Forma_IS!E48</f>
        <v>8380.1146191428597</v>
      </c>
      <c r="F32" s="27">
        <f>Pro_Forma_IS!F48</f>
        <v>8845.908491352855</v>
      </c>
      <c r="G32" s="27">
        <f>Pro_Forma_IS!G48</f>
        <v>9297.0419961521584</v>
      </c>
      <c r="H32" s="9"/>
      <c r="I32" s="9"/>
      <c r="J32" s="9"/>
      <c r="K32" s="9"/>
      <c r="L32" s="9"/>
      <c r="M32" s="9"/>
      <c r="N32" s="9"/>
      <c r="O32" s="9"/>
      <c r="P32" s="9"/>
      <c r="Q32" s="9"/>
      <c r="R32" s="9"/>
      <c r="S32" s="9"/>
      <c r="T32" s="9"/>
      <c r="U32" s="9"/>
      <c r="V32" s="9"/>
      <c r="W32" s="9"/>
      <c r="X32" s="9"/>
      <c r="Y32" s="9"/>
      <c r="Z32" s="9"/>
      <c r="AA32" s="9"/>
      <c r="AB32" s="9"/>
      <c r="AC32" s="9"/>
      <c r="AD32" s="9"/>
    </row>
    <row r="33" spans="1:30" ht="14.25" customHeight="1" x14ac:dyDescent="0.3">
      <c r="A33" s="1"/>
      <c r="B33" s="35" t="s">
        <v>334</v>
      </c>
      <c r="C33" s="27">
        <f>Pro_Forma_IS!C48*Assumptions!C77</f>
        <v>1473.9708214285711</v>
      </c>
      <c r="D33" s="27">
        <f>Pro_Forma_IS!D48*Assumptions!C77</f>
        <v>1572.2238514285718</v>
      </c>
      <c r="E33" s="27">
        <f>Pro_Forma_IS!E48*Assumptions!C77</f>
        <v>1676.0229238285719</v>
      </c>
      <c r="F33" s="27">
        <f>Pro_Forma_IS!F48*Assumptions!C77</f>
        <v>1769.1816982705711</v>
      </c>
      <c r="G33" s="27">
        <f>Pro_Forma_IS!G48*Assumptions!C77</f>
        <v>1859.4083992304318</v>
      </c>
      <c r="H33" s="9"/>
      <c r="I33" s="9"/>
      <c r="J33" s="9"/>
      <c r="K33" s="9"/>
      <c r="L33" s="9"/>
      <c r="M33" s="9"/>
      <c r="N33" s="9"/>
      <c r="O33" s="9"/>
      <c r="P33" s="9"/>
      <c r="Q33" s="9"/>
      <c r="R33" s="9"/>
      <c r="S33" s="9"/>
      <c r="T33" s="9"/>
      <c r="U33" s="9"/>
      <c r="V33" s="9"/>
      <c r="W33" s="9"/>
      <c r="X33" s="9"/>
      <c r="Y33" s="9"/>
      <c r="Z33" s="9"/>
      <c r="AA33" s="9"/>
      <c r="AB33" s="9"/>
      <c r="AC33" s="9"/>
      <c r="AD33" s="9"/>
    </row>
    <row r="34" spans="1:30" ht="14.25" customHeight="1" x14ac:dyDescent="0.3">
      <c r="A34" s="1"/>
      <c r="B34" s="36" t="s">
        <v>335</v>
      </c>
      <c r="C34" s="37">
        <f>C31+C32-C33</f>
        <v>155295.88328571428</v>
      </c>
      <c r="D34" s="37">
        <f>D31+D32-D33</f>
        <v>161584.77869142857</v>
      </c>
      <c r="E34" s="37">
        <f>E31+E32-E33</f>
        <v>168288.87038674287</v>
      </c>
      <c r="F34" s="37">
        <f>F31+F32-F33</f>
        <v>175365.59717982516</v>
      </c>
      <c r="G34" s="37">
        <f>G31+G32-G33</f>
        <v>182803.2307767469</v>
      </c>
      <c r="H34" s="9"/>
      <c r="I34" s="9"/>
      <c r="J34" s="9"/>
      <c r="K34" s="9"/>
      <c r="L34" s="9"/>
      <c r="M34" s="9"/>
      <c r="N34" s="9"/>
      <c r="O34" s="9"/>
      <c r="P34" s="9"/>
      <c r="Q34" s="9"/>
      <c r="R34" s="9"/>
      <c r="S34" s="9"/>
      <c r="T34" s="9"/>
      <c r="U34" s="9"/>
      <c r="V34" s="9"/>
      <c r="W34" s="9"/>
      <c r="X34" s="9"/>
      <c r="Y34" s="9"/>
      <c r="Z34" s="9"/>
      <c r="AA34" s="9"/>
      <c r="AB34" s="9"/>
      <c r="AC34" s="9"/>
      <c r="AD34" s="9"/>
    </row>
    <row r="35" spans="1:30" ht="14.25" customHeight="1" x14ac:dyDescent="0.3">
      <c r="A35" s="1"/>
      <c r="B35" s="1"/>
      <c r="C35" s="1"/>
      <c r="D35" s="1"/>
      <c r="E35" s="1"/>
      <c r="F35" s="1"/>
      <c r="G35" s="1"/>
      <c r="H35" s="9"/>
      <c r="I35" s="9"/>
      <c r="J35" s="9"/>
      <c r="K35" s="9"/>
      <c r="L35" s="9"/>
      <c r="M35" s="9"/>
      <c r="N35" s="9"/>
      <c r="O35" s="9"/>
      <c r="P35" s="9"/>
      <c r="Q35" s="9"/>
      <c r="R35" s="9"/>
      <c r="S35" s="9"/>
      <c r="T35" s="9"/>
      <c r="U35" s="9"/>
      <c r="V35" s="9"/>
      <c r="W35" s="9"/>
      <c r="X35" s="9"/>
      <c r="Y35" s="9"/>
      <c r="Z35" s="9"/>
      <c r="AA35" s="9"/>
      <c r="AB35" s="9"/>
      <c r="AC35" s="9"/>
      <c r="AD35" s="9"/>
    </row>
    <row r="36" spans="1:30" ht="14.25" customHeight="1" x14ac:dyDescent="0.3">
      <c r="A36" s="1"/>
      <c r="B36" t="s">
        <v>336</v>
      </c>
      <c r="C36" s="45">
        <f>IF(C34&lt;=0,"N/A",C21/C34)</f>
        <v>3.0586773451430918E-2</v>
      </c>
      <c r="D36" s="45">
        <f>IF(D34&lt;=0,"N/A",D21/D34)</f>
        <v>2.7948177028629714E-2</v>
      </c>
      <c r="E36" s="45">
        <f>IF(E34&lt;=0,"N/A",E21/E34)</f>
        <v>2.5514907730572387E-2</v>
      </c>
      <c r="F36" s="45">
        <f>IF(F34&lt;=0,"N/A",F21/F34)</f>
        <v>2.3282966075798418E-2</v>
      </c>
      <c r="G36" s="45">
        <f>IF(G34&lt;=0,"N/A",G21/G34)</f>
        <v>2.1240897499465401E-2</v>
      </c>
      <c r="H36" s="9"/>
      <c r="I36" s="9"/>
      <c r="J36" s="9"/>
      <c r="K36" s="9"/>
      <c r="L36" s="9"/>
      <c r="M36" s="9"/>
      <c r="N36" s="9"/>
      <c r="O36" s="9"/>
      <c r="P36" s="9"/>
      <c r="Q36" s="9"/>
      <c r="R36" s="9"/>
      <c r="S36" s="9"/>
      <c r="T36" s="9"/>
      <c r="U36" s="9"/>
      <c r="V36" s="9"/>
      <c r="W36" s="9"/>
      <c r="X36" s="9"/>
      <c r="Y36" s="9"/>
      <c r="Z36" s="9"/>
      <c r="AA36" s="9"/>
      <c r="AB36" s="9"/>
      <c r="AC36" s="9"/>
      <c r="AD36" s="9"/>
    </row>
    <row r="37" spans="1:30" ht="14.25" customHeight="1" x14ac:dyDescent="0.3">
      <c r="A37" s="1"/>
      <c r="B37" s="1"/>
      <c r="C37" s="1"/>
      <c r="D37" s="1"/>
      <c r="E37" s="1"/>
      <c r="F37" s="1"/>
      <c r="G37" s="1"/>
      <c r="H37" s="9"/>
      <c r="I37" s="9"/>
      <c r="J37" s="9"/>
      <c r="K37" s="9"/>
      <c r="L37" s="9"/>
      <c r="M37" s="9"/>
      <c r="N37" s="9"/>
      <c r="O37" s="9"/>
      <c r="P37" s="9"/>
      <c r="Q37" s="9"/>
      <c r="R37" s="9"/>
      <c r="S37" s="9"/>
      <c r="T37" s="9"/>
      <c r="U37" s="9"/>
      <c r="V37" s="9"/>
      <c r="W37" s="9"/>
      <c r="X37" s="9"/>
      <c r="Y37" s="9"/>
      <c r="Z37" s="9"/>
      <c r="AA37" s="9"/>
      <c r="AB37" s="9"/>
      <c r="AC37" s="9"/>
      <c r="AD37" s="9"/>
    </row>
    <row r="38" spans="1:30" ht="14.25" customHeight="1" x14ac:dyDescent="0.3">
      <c r="A38" s="1"/>
      <c r="B38" s="3" t="s">
        <v>337</v>
      </c>
      <c r="C38" s="34"/>
      <c r="D38" s="34"/>
      <c r="E38" s="34"/>
      <c r="F38" s="34"/>
      <c r="G38" s="34"/>
      <c r="H38" s="9"/>
      <c r="I38" s="9"/>
      <c r="J38" s="9"/>
      <c r="K38" s="9"/>
      <c r="L38" s="9"/>
      <c r="M38" s="9"/>
      <c r="N38" s="9"/>
      <c r="O38" s="9"/>
      <c r="P38" s="9"/>
      <c r="Q38" s="9"/>
      <c r="R38" s="9"/>
      <c r="S38" s="9"/>
      <c r="T38" s="9"/>
      <c r="U38" s="9"/>
      <c r="V38" s="9"/>
      <c r="W38" s="9"/>
      <c r="X38" s="9"/>
      <c r="Y38" s="9"/>
      <c r="Z38" s="9"/>
      <c r="AA38" s="9"/>
      <c r="AB38" s="9"/>
      <c r="AC38" s="9"/>
      <c r="AD38" s="9"/>
    </row>
    <row r="39" spans="1:30" ht="14.25" customHeight="1" x14ac:dyDescent="0.3">
      <c r="A39" s="1"/>
      <c r="B39" t="s">
        <v>338</v>
      </c>
      <c r="C39" s="27">
        <f>Assumptions!C20+Assumptions!C89</f>
        <v>3900</v>
      </c>
      <c r="D39" s="27">
        <f>C42</f>
        <v>9795.8832857142843</v>
      </c>
      <c r="E39" s="27">
        <f>D42</f>
        <v>16084.778691428572</v>
      </c>
      <c r="F39" s="27">
        <f>E42</f>
        <v>22788.870386742859</v>
      </c>
      <c r="G39" s="27">
        <f>F42</f>
        <v>29865.597179825141</v>
      </c>
      <c r="H39" s="9"/>
      <c r="I39" s="9"/>
      <c r="J39" s="9"/>
      <c r="K39" s="9"/>
      <c r="L39" s="9"/>
      <c r="M39" s="9"/>
      <c r="N39" s="9"/>
      <c r="O39" s="9"/>
      <c r="P39" s="9"/>
      <c r="Q39" s="9"/>
      <c r="R39" s="9"/>
      <c r="S39" s="9"/>
      <c r="T39" s="9"/>
      <c r="U39" s="9"/>
      <c r="V39" s="9"/>
      <c r="W39" s="9"/>
      <c r="X39" s="9"/>
      <c r="Y39" s="9"/>
      <c r="Z39" s="9"/>
      <c r="AA39" s="9"/>
      <c r="AB39" s="9"/>
      <c r="AC39" s="9"/>
      <c r="AD39" s="9"/>
    </row>
    <row r="40" spans="1:30" ht="14.25" customHeight="1" x14ac:dyDescent="0.3">
      <c r="A40" s="1"/>
      <c r="B40" s="35" t="s">
        <v>339</v>
      </c>
      <c r="C40" s="27">
        <f>Pro_Forma_IS!C48</f>
        <v>7369.8541071428554</v>
      </c>
      <c r="D40" s="27">
        <f>Pro_Forma_IS!D48</f>
        <v>7861.1192571428583</v>
      </c>
      <c r="E40" s="27">
        <f>Pro_Forma_IS!E48</f>
        <v>8380.1146191428597</v>
      </c>
      <c r="F40" s="27">
        <f>Pro_Forma_IS!F48</f>
        <v>8845.908491352855</v>
      </c>
      <c r="G40" s="27">
        <f>Pro_Forma_IS!G48</f>
        <v>9297.0419961521584</v>
      </c>
      <c r="H40" s="9"/>
      <c r="I40" s="9"/>
      <c r="J40" s="9"/>
      <c r="K40" s="9"/>
      <c r="L40" s="9"/>
      <c r="M40" s="9"/>
      <c r="N40" s="9"/>
      <c r="O40" s="9"/>
      <c r="P40" s="9"/>
      <c r="Q40" s="9"/>
      <c r="R40" s="9"/>
      <c r="S40" s="9"/>
      <c r="T40" s="9"/>
      <c r="U40" s="9"/>
      <c r="V40" s="9"/>
      <c r="W40" s="9"/>
      <c r="X40" s="9"/>
      <c r="Y40" s="9"/>
      <c r="Z40" s="9"/>
      <c r="AA40" s="9"/>
      <c r="AB40" s="9"/>
      <c r="AC40" s="9"/>
      <c r="AD40" s="9"/>
    </row>
    <row r="41" spans="1:30" ht="14.25" customHeight="1" x14ac:dyDescent="0.3">
      <c r="A41" s="1"/>
      <c r="B41" s="35" t="s">
        <v>334</v>
      </c>
      <c r="C41" s="27">
        <f>Pro_Forma_IS!C48*Assumptions!C77</f>
        <v>1473.9708214285711</v>
      </c>
      <c r="D41" s="27">
        <f>Pro_Forma_IS!D48*Assumptions!C77</f>
        <v>1572.2238514285718</v>
      </c>
      <c r="E41" s="27">
        <f>Pro_Forma_IS!E48*Assumptions!C77</f>
        <v>1676.0229238285719</v>
      </c>
      <c r="F41" s="27">
        <f>Pro_Forma_IS!F48*Assumptions!C77</f>
        <v>1769.1816982705711</v>
      </c>
      <c r="G41" s="27">
        <f>Pro_Forma_IS!G48*Assumptions!C77</f>
        <v>1859.4083992304318</v>
      </c>
      <c r="H41" s="9"/>
      <c r="I41" s="9"/>
      <c r="J41" s="9"/>
      <c r="K41" s="9"/>
      <c r="L41" s="9"/>
      <c r="M41" s="9"/>
      <c r="N41" s="9"/>
      <c r="O41" s="9"/>
      <c r="P41" s="9"/>
      <c r="Q41" s="9"/>
      <c r="R41" s="9"/>
      <c r="S41" s="9"/>
      <c r="T41" s="9"/>
      <c r="U41" s="9"/>
      <c r="V41" s="9"/>
      <c r="W41" s="9"/>
      <c r="X41" s="9"/>
      <c r="Y41" s="9"/>
      <c r="Z41" s="9"/>
      <c r="AA41" s="9"/>
      <c r="AB41" s="9"/>
      <c r="AC41" s="9"/>
      <c r="AD41" s="9"/>
    </row>
    <row r="42" spans="1:30" ht="14.25" customHeight="1" x14ac:dyDescent="0.3">
      <c r="A42" s="1"/>
      <c r="B42" s="36" t="s">
        <v>340</v>
      </c>
      <c r="C42" s="37">
        <f>C39+C40-C41</f>
        <v>9795.8832857142843</v>
      </c>
      <c r="D42" s="37">
        <f>D39+D40-D41</f>
        <v>16084.778691428572</v>
      </c>
      <c r="E42" s="37">
        <f>E39+E40-E41</f>
        <v>22788.870386742859</v>
      </c>
      <c r="F42" s="37">
        <f>F39+F40-F41</f>
        <v>29865.597179825141</v>
      </c>
      <c r="G42" s="37">
        <f>G39+G40-G41</f>
        <v>37303.230776746866</v>
      </c>
      <c r="H42" s="9"/>
      <c r="I42" s="9"/>
      <c r="J42" s="9"/>
      <c r="K42" s="9"/>
      <c r="L42" s="9"/>
      <c r="M42" s="9"/>
      <c r="N42" s="9"/>
      <c r="O42" s="9"/>
      <c r="P42" s="9"/>
      <c r="Q42" s="9"/>
      <c r="R42" s="9"/>
      <c r="S42" s="9"/>
      <c r="T42" s="9"/>
      <c r="U42" s="9"/>
      <c r="V42" s="9"/>
      <c r="W42" s="9"/>
      <c r="X42" s="9"/>
      <c r="Y42" s="9"/>
      <c r="Z42" s="9"/>
      <c r="AA42" s="9"/>
      <c r="AB42" s="9"/>
      <c r="AC42" s="9"/>
      <c r="AD42" s="9"/>
    </row>
  </sheetData>
  <pageMargins left="0.75" right="0.75" top="1" bottom="1" header="0.511811023622047" footer="0.511811023622047"/>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5A5A5"/>
  </sheetPr>
  <dimension ref="A1:AD24"/>
  <sheetViews>
    <sheetView showGridLines="0" zoomScaleNormal="100" workbookViewId="0">
      <selection activeCell="Y1" sqref="Y1:AD3"/>
    </sheetView>
  </sheetViews>
  <sheetFormatPr defaultColWidth="8.59765625" defaultRowHeight="13.8" x14ac:dyDescent="0.25"/>
  <cols>
    <col min="1" max="1" width="1.8984375" customWidth="1"/>
    <col min="2" max="2" width="32" customWidth="1"/>
    <col min="3" max="8" width="18" customWidth="1"/>
  </cols>
  <sheetData>
    <row r="1" spans="1:30" ht="14.25" customHeight="1" x14ac:dyDescent="0.3">
      <c r="A1" s="86"/>
      <c r="B1" s="86"/>
      <c r="C1" s="86"/>
      <c r="D1" s="86"/>
      <c r="E1" s="86"/>
      <c r="F1" s="86"/>
      <c r="G1" s="86"/>
      <c r="H1" s="86"/>
      <c r="I1" s="86"/>
      <c r="J1" s="86"/>
      <c r="K1" s="86"/>
      <c r="L1" s="86"/>
      <c r="M1" s="86"/>
      <c r="N1" s="86"/>
      <c r="O1" s="86"/>
      <c r="P1" s="86"/>
      <c r="Q1" s="86"/>
      <c r="R1" s="86"/>
      <c r="S1" s="86"/>
      <c r="T1" s="86"/>
      <c r="U1" s="86"/>
      <c r="V1" s="86"/>
      <c r="W1" s="86"/>
      <c r="X1" s="86"/>
      <c r="Y1" s="85"/>
      <c r="Z1" s="85"/>
      <c r="AA1" s="85"/>
      <c r="AB1" s="85"/>
      <c r="AC1" s="85"/>
      <c r="AD1" s="85"/>
    </row>
    <row r="2" spans="1:30" ht="21.75" customHeight="1" x14ac:dyDescent="0.4">
      <c r="A2" s="86"/>
      <c r="B2" s="88" t="s">
        <v>341</v>
      </c>
      <c r="C2" s="86"/>
      <c r="D2" s="86"/>
      <c r="E2" s="86"/>
      <c r="F2" s="86"/>
      <c r="G2" s="86"/>
      <c r="H2" s="86"/>
      <c r="I2" s="86"/>
      <c r="J2" s="86"/>
      <c r="K2" s="86"/>
      <c r="L2" s="86"/>
      <c r="M2" s="86"/>
      <c r="N2" s="86"/>
      <c r="O2" s="86"/>
      <c r="P2" s="86"/>
      <c r="Q2" s="86"/>
      <c r="R2" s="86"/>
      <c r="S2" s="86"/>
      <c r="T2" s="86"/>
      <c r="U2" s="86"/>
      <c r="V2" s="86"/>
      <c r="W2" s="86"/>
      <c r="X2" s="86"/>
      <c r="Y2" s="85"/>
      <c r="Z2" s="85"/>
      <c r="AA2" s="85"/>
      <c r="AB2" s="85"/>
      <c r="AC2" s="85"/>
      <c r="AD2" s="85"/>
    </row>
    <row r="3" spans="1:30" ht="14.25" customHeight="1" x14ac:dyDescent="0.3">
      <c r="A3" s="86"/>
      <c r="B3" s="90" t="s">
        <v>342</v>
      </c>
      <c r="C3" s="86"/>
      <c r="D3" s="86"/>
      <c r="E3" s="86"/>
      <c r="F3" s="86"/>
      <c r="G3" s="86"/>
      <c r="H3" s="86"/>
      <c r="I3" s="86"/>
      <c r="J3" s="86"/>
      <c r="K3" s="86"/>
      <c r="L3" s="86"/>
      <c r="M3" s="86"/>
      <c r="N3" s="86"/>
      <c r="O3" s="86"/>
      <c r="P3" s="86"/>
      <c r="Q3" s="86"/>
      <c r="R3" s="86"/>
      <c r="S3" s="86"/>
      <c r="T3" s="86"/>
      <c r="U3" s="86"/>
      <c r="V3" s="86"/>
      <c r="W3" s="86"/>
      <c r="X3" s="86"/>
      <c r="Y3" s="85"/>
      <c r="Z3" s="85"/>
      <c r="AA3" s="85"/>
      <c r="AB3" s="85"/>
      <c r="AC3" s="85"/>
      <c r="AD3" s="85"/>
    </row>
    <row r="4" spans="1:30" ht="14.25" customHeight="1" x14ac:dyDescent="0.3">
      <c r="A4" s="1"/>
      <c r="B4" s="1"/>
      <c r="C4" s="1"/>
      <c r="D4" s="1"/>
      <c r="E4" s="1"/>
      <c r="F4" s="1"/>
      <c r="G4" s="1"/>
      <c r="H4" s="1"/>
      <c r="I4" s="1"/>
      <c r="J4" s="1"/>
      <c r="K4" s="1"/>
      <c r="L4" s="1"/>
      <c r="M4" s="1"/>
      <c r="N4" s="1"/>
      <c r="O4" s="1"/>
      <c r="P4" s="1"/>
      <c r="Q4" s="1"/>
      <c r="R4" s="1"/>
      <c r="S4" s="1"/>
      <c r="T4" s="1"/>
      <c r="U4" s="1"/>
      <c r="V4" s="1"/>
      <c r="W4" s="1"/>
      <c r="X4" s="1"/>
      <c r="Y4" s="9"/>
      <c r="Z4" s="9"/>
      <c r="AA4" s="9"/>
      <c r="AB4" s="9"/>
      <c r="AC4" s="9"/>
      <c r="AD4" s="9"/>
    </row>
    <row r="5" spans="1:30" ht="14.25" customHeight="1" x14ac:dyDescent="0.3">
      <c r="A5" s="1"/>
      <c r="B5" s="1"/>
      <c r="C5" s="1"/>
      <c r="D5" s="1"/>
      <c r="E5" s="1"/>
      <c r="F5" s="1"/>
      <c r="G5" s="1"/>
      <c r="H5" s="1"/>
      <c r="I5" s="1"/>
      <c r="J5" s="1"/>
      <c r="K5" s="1"/>
      <c r="L5" s="1"/>
      <c r="M5" s="1"/>
      <c r="N5" s="1"/>
      <c r="O5" s="1"/>
      <c r="P5" s="1"/>
      <c r="Q5" s="1"/>
      <c r="R5" s="1"/>
      <c r="S5" s="1"/>
      <c r="T5" s="1"/>
      <c r="U5" s="1"/>
      <c r="V5" s="1"/>
      <c r="W5" s="1"/>
      <c r="X5" s="1"/>
      <c r="Y5" s="9"/>
      <c r="Z5" s="9"/>
      <c r="AA5" s="9"/>
      <c r="AB5" s="9"/>
      <c r="AC5" s="9"/>
      <c r="AD5" s="9"/>
    </row>
    <row r="6" spans="1:30" ht="14.25" customHeight="1" x14ac:dyDescent="0.3">
      <c r="A6" s="1"/>
      <c r="B6" s="5"/>
      <c r="C6" s="28" t="s">
        <v>343</v>
      </c>
      <c r="D6" s="28" t="s">
        <v>210</v>
      </c>
      <c r="E6" s="28" t="s">
        <v>211</v>
      </c>
      <c r="F6" s="28" t="s">
        <v>212</v>
      </c>
      <c r="G6" s="28" t="s">
        <v>213</v>
      </c>
      <c r="H6" s="28" t="s">
        <v>214</v>
      </c>
      <c r="I6" s="1"/>
      <c r="J6" s="1"/>
      <c r="K6" s="1"/>
      <c r="L6" s="1"/>
      <c r="M6" s="1"/>
      <c r="N6" s="1"/>
      <c r="O6" s="1"/>
      <c r="P6" s="1"/>
      <c r="Q6" s="1"/>
      <c r="R6" s="1"/>
      <c r="S6" s="1"/>
      <c r="T6" s="1"/>
      <c r="U6" s="1"/>
      <c r="V6" s="1"/>
      <c r="W6" s="1"/>
      <c r="X6" s="1"/>
      <c r="Y6" s="9"/>
      <c r="Z6" s="9"/>
      <c r="AA6" s="9"/>
      <c r="AB6" s="9"/>
      <c r="AC6" s="9"/>
      <c r="AD6" s="9"/>
    </row>
    <row r="7" spans="1:30" ht="14.25" customHeight="1" x14ac:dyDescent="0.3">
      <c r="A7" s="1"/>
      <c r="B7" s="5" t="s">
        <v>344</v>
      </c>
      <c r="C7" s="46" t="s">
        <v>345</v>
      </c>
      <c r="D7" s="46" t="s">
        <v>346</v>
      </c>
      <c r="E7" s="46" t="s">
        <v>346</v>
      </c>
      <c r="F7" s="46" t="s">
        <v>346</v>
      </c>
      <c r="G7" s="46" t="s">
        <v>346</v>
      </c>
      <c r="H7" s="46" t="s">
        <v>347</v>
      </c>
      <c r="I7" s="1"/>
      <c r="J7" s="1"/>
      <c r="K7" s="1"/>
      <c r="L7" s="1"/>
      <c r="M7" s="1"/>
      <c r="N7" s="1"/>
      <c r="O7" s="1"/>
      <c r="P7" s="1"/>
      <c r="Q7" s="1"/>
      <c r="R7" s="1"/>
      <c r="S7" s="1"/>
      <c r="T7" s="1"/>
      <c r="U7" s="1"/>
      <c r="V7" s="1"/>
      <c r="W7" s="1"/>
      <c r="X7" s="1"/>
      <c r="Y7" s="9"/>
      <c r="Z7" s="9"/>
      <c r="AA7" s="9"/>
      <c r="AB7" s="9"/>
      <c r="AC7" s="9"/>
      <c r="AD7" s="9"/>
    </row>
    <row r="8" spans="1:30" ht="14.25" customHeight="1" x14ac:dyDescent="0.3">
      <c r="A8" s="1"/>
      <c r="B8" t="s">
        <v>348</v>
      </c>
      <c r="C8" s="27">
        <f>-(Assumptions!C38+Assumptions!C89)</f>
        <v>-2400</v>
      </c>
      <c r="D8" s="27">
        <f>Pro_Forma_IS!C48*Assumptions!$C$77*$C$21</f>
        <v>1465.0914791308087</v>
      </c>
      <c r="E8" s="27">
        <f>Pro_Forma_IS!D48*Assumptions!$C$77*$C$21</f>
        <v>1562.7526234079178</v>
      </c>
      <c r="F8" s="27">
        <f>Pro_Forma_IS!E48*Assumptions!$C$77*$C$21</f>
        <v>1665.9264001910506</v>
      </c>
      <c r="G8" s="27">
        <f>Pro_Forma_IS!F48*Assumptions!$C$77*$C$21</f>
        <v>1758.5239771966521</v>
      </c>
      <c r="H8" s="27">
        <f>Pro_Forma_IS!G48*Assumptions!C77*C21+C13</f>
        <v>182757.75863360454</v>
      </c>
      <c r="I8" s="1"/>
      <c r="J8" s="1"/>
      <c r="K8" s="1"/>
      <c r="L8" s="1"/>
      <c r="M8" s="1"/>
      <c r="N8" s="1"/>
      <c r="O8" s="1"/>
      <c r="P8" s="1"/>
      <c r="Q8" s="1"/>
      <c r="R8" s="1"/>
      <c r="S8" s="1"/>
      <c r="T8" s="1"/>
      <c r="U8" s="1"/>
      <c r="V8" s="1"/>
      <c r="W8" s="1"/>
      <c r="X8" s="1"/>
      <c r="Y8" s="9"/>
      <c r="Z8" s="9"/>
      <c r="AA8" s="9"/>
      <c r="AB8" s="9"/>
      <c r="AC8" s="9"/>
      <c r="AD8" s="9"/>
    </row>
    <row r="9" spans="1:30" ht="14.25" customHeight="1" x14ac:dyDescent="0.3">
      <c r="A9" s="1"/>
      <c r="B9" s="1"/>
      <c r="C9" s="1"/>
      <c r="D9" s="1"/>
      <c r="E9" s="1"/>
      <c r="F9" s="1"/>
      <c r="G9" s="1"/>
      <c r="H9" s="1"/>
      <c r="I9" s="1"/>
      <c r="J9" s="1"/>
      <c r="K9" s="1"/>
      <c r="L9" s="1"/>
      <c r="M9" s="1"/>
      <c r="N9" s="1"/>
      <c r="O9" s="1"/>
      <c r="P9" s="1"/>
      <c r="Q9" s="1"/>
      <c r="R9" s="1"/>
      <c r="S9" s="1"/>
      <c r="T9" s="1"/>
      <c r="U9" s="1"/>
      <c r="V9" s="1"/>
      <c r="W9" s="1"/>
      <c r="X9" s="1"/>
      <c r="Y9" s="9"/>
      <c r="Z9" s="9"/>
      <c r="AA9" s="9"/>
      <c r="AB9" s="9"/>
      <c r="AC9" s="9"/>
      <c r="AD9" s="9"/>
    </row>
    <row r="10" spans="1:30" ht="14.25" customHeight="1" x14ac:dyDescent="0.3">
      <c r="A10" s="1"/>
      <c r="B10" s="31" t="s">
        <v>349</v>
      </c>
      <c r="C10" s="41">
        <f>IRR(C8:H8)</f>
        <v>1.6191631431348581</v>
      </c>
      <c r="D10" s="1"/>
      <c r="E10" s="1"/>
      <c r="F10" s="1"/>
      <c r="G10" s="1"/>
      <c r="H10" s="1"/>
      <c r="I10" s="1"/>
      <c r="J10" s="1"/>
      <c r="K10" s="1"/>
      <c r="L10" s="1"/>
      <c r="M10" s="1"/>
      <c r="N10" s="1"/>
      <c r="O10" s="1"/>
      <c r="P10" s="1"/>
      <c r="Q10" s="1"/>
      <c r="R10" s="1"/>
      <c r="S10" s="1"/>
      <c r="T10" s="1"/>
      <c r="U10" s="1"/>
      <c r="V10" s="1"/>
      <c r="W10" s="1"/>
      <c r="X10" s="1"/>
      <c r="Y10" s="9"/>
      <c r="Z10" s="9"/>
      <c r="AA10" s="9"/>
      <c r="AB10" s="9"/>
      <c r="AC10" s="9"/>
      <c r="AD10" s="9"/>
    </row>
    <row r="11" spans="1:30" ht="14.25" customHeight="1" x14ac:dyDescent="0.3">
      <c r="A11" s="1"/>
      <c r="B11" t="s">
        <v>350</v>
      </c>
      <c r="C11" s="19">
        <f>SUM(D8:H8)/(-C8)</f>
        <v>78.837522130637907</v>
      </c>
      <c r="D11" s="1"/>
      <c r="E11" s="59"/>
      <c r="F11" s="1"/>
      <c r="G11" s="1"/>
      <c r="H11" s="1"/>
      <c r="I11" s="1"/>
      <c r="J11" s="1"/>
      <c r="K11" s="1"/>
      <c r="L11" s="1"/>
      <c r="M11" s="1"/>
      <c r="N11" s="1"/>
      <c r="O11" s="1"/>
      <c r="P11" s="1"/>
      <c r="Q11" s="1"/>
      <c r="R11" s="1"/>
      <c r="S11" s="1"/>
      <c r="T11" s="1"/>
      <c r="U11" s="1"/>
      <c r="V11" s="1"/>
      <c r="W11" s="1"/>
      <c r="X11" s="1"/>
      <c r="Y11" s="9"/>
      <c r="Z11" s="9"/>
      <c r="AA11" s="9"/>
      <c r="AB11" s="9"/>
      <c r="AC11" s="9"/>
      <c r="AD11" s="9"/>
    </row>
    <row r="12" spans="1:30" ht="14.25" customHeight="1" x14ac:dyDescent="0.3">
      <c r="A12" s="1"/>
      <c r="B12" s="1"/>
      <c r="C12" s="1"/>
      <c r="D12" s="1"/>
      <c r="E12" s="1"/>
      <c r="F12" s="1"/>
      <c r="G12" s="1"/>
      <c r="H12" s="1"/>
      <c r="I12" s="1"/>
      <c r="J12" s="1"/>
      <c r="K12" s="1"/>
      <c r="L12" s="1"/>
      <c r="M12" s="1"/>
      <c r="N12" s="1"/>
      <c r="O12" s="1"/>
      <c r="P12" s="1"/>
      <c r="Q12" s="1"/>
      <c r="R12" s="1"/>
      <c r="S12" s="1"/>
      <c r="T12" s="1"/>
      <c r="U12" s="1"/>
      <c r="V12" s="1"/>
      <c r="W12" s="1"/>
      <c r="X12" s="1"/>
      <c r="Y12" s="9"/>
      <c r="Z12" s="9"/>
      <c r="AA12" s="9"/>
      <c r="AB12" s="9"/>
      <c r="AC12" s="9"/>
      <c r="AD12" s="9"/>
    </row>
    <row r="13" spans="1:30" ht="14.25" customHeight="1" x14ac:dyDescent="0.3">
      <c r="A13" s="1"/>
      <c r="B13" t="s">
        <v>351</v>
      </c>
      <c r="C13" s="27">
        <f>(Exit_EBITDA_Multiple * Y5_EBITDA) - (Y5_New_Debt + Y5_Acq_Debt) + Y5_Cash</f>
        <v>180909.55148979116</v>
      </c>
      <c r="D13" s="1"/>
      <c r="E13" s="1"/>
      <c r="F13" s="1"/>
      <c r="G13" s="1"/>
      <c r="H13" s="1"/>
      <c r="I13" s="1"/>
      <c r="J13" s="1"/>
      <c r="K13" s="1"/>
      <c r="L13" s="1"/>
      <c r="M13" s="1"/>
      <c r="N13" s="1"/>
      <c r="O13" s="1"/>
      <c r="P13" s="1"/>
      <c r="Q13" s="1"/>
      <c r="R13" s="1"/>
      <c r="S13" s="1"/>
      <c r="T13" s="1"/>
      <c r="U13" s="1"/>
      <c r="V13" s="1"/>
      <c r="W13" s="1"/>
      <c r="X13" s="1"/>
      <c r="Y13" s="9"/>
      <c r="Z13" s="9"/>
      <c r="AA13" s="9"/>
      <c r="AB13" s="9"/>
      <c r="AC13" s="9"/>
      <c r="AD13" s="9"/>
    </row>
    <row r="14" spans="1:30" ht="14.2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9"/>
      <c r="Z14" s="9"/>
      <c r="AA14" s="9"/>
      <c r="AB14" s="9"/>
      <c r="AC14" s="9"/>
      <c r="AD14" s="9"/>
    </row>
    <row r="15" spans="1:30" ht="14.2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9"/>
      <c r="Z15" s="9"/>
      <c r="AA15" s="9"/>
      <c r="AB15" s="9"/>
      <c r="AC15" s="9"/>
      <c r="AD15" s="9"/>
    </row>
    <row r="16" spans="1:30" ht="14.25" customHeight="1" x14ac:dyDescent="0.3">
      <c r="A16" s="1"/>
      <c r="B16" s="2" t="s">
        <v>352</v>
      </c>
      <c r="C16" s="3"/>
      <c r="D16" s="3"/>
      <c r="E16" s="3"/>
      <c r="F16" s="3"/>
      <c r="G16" s="3"/>
      <c r="H16" s="3"/>
      <c r="I16" s="3"/>
      <c r="J16" s="3"/>
      <c r="K16" s="3"/>
      <c r="L16" s="3"/>
      <c r="M16" s="3"/>
      <c r="N16" s="3"/>
      <c r="O16" s="3"/>
      <c r="P16" s="3"/>
      <c r="Q16" s="3"/>
      <c r="R16" s="3"/>
      <c r="S16" s="3"/>
      <c r="T16" s="3"/>
      <c r="U16" s="3"/>
      <c r="V16" s="3"/>
      <c r="W16" s="3"/>
      <c r="X16" s="3"/>
      <c r="Y16" s="9"/>
      <c r="Z16" s="9"/>
      <c r="AA16" s="9"/>
      <c r="AB16" s="9"/>
      <c r="AC16" s="9"/>
      <c r="AD16" s="9"/>
    </row>
    <row r="17" spans="1:30" ht="14.25" customHeight="1" x14ac:dyDescent="0.3">
      <c r="A17" s="1"/>
      <c r="B17" t="s">
        <v>353</v>
      </c>
      <c r="C17" s="47">
        <f t="shared" ref="C17:W17" si="0">20*(COLUMN()-3)</f>
        <v>0</v>
      </c>
      <c r="D17" s="47">
        <f>20*(COLUMN()-3)</f>
        <v>20</v>
      </c>
      <c r="E17" s="47">
        <f t="shared" si="0"/>
        <v>40</v>
      </c>
      <c r="F17" s="47">
        <f t="shared" si="0"/>
        <v>60</v>
      </c>
      <c r="G17" s="47">
        <f t="shared" si="0"/>
        <v>80</v>
      </c>
      <c r="H17" s="47">
        <f t="shared" si="0"/>
        <v>100</v>
      </c>
      <c r="I17" s="47">
        <f t="shared" si="0"/>
        <v>120</v>
      </c>
      <c r="J17" s="47">
        <f t="shared" si="0"/>
        <v>140</v>
      </c>
      <c r="K17" s="47">
        <f t="shared" si="0"/>
        <v>160</v>
      </c>
      <c r="L17" s="47">
        <f t="shared" si="0"/>
        <v>180</v>
      </c>
      <c r="M17" s="47">
        <f t="shared" si="0"/>
        <v>200</v>
      </c>
      <c r="N17" s="47">
        <f t="shared" si="0"/>
        <v>220</v>
      </c>
      <c r="O17" s="47">
        <f t="shared" si="0"/>
        <v>240</v>
      </c>
      <c r="P17" s="47">
        <f t="shared" si="0"/>
        <v>260</v>
      </c>
      <c r="Q17" s="47">
        <f t="shared" si="0"/>
        <v>280</v>
      </c>
      <c r="R17" s="47">
        <f t="shared" si="0"/>
        <v>300</v>
      </c>
      <c r="S17" s="47">
        <f t="shared" si="0"/>
        <v>320</v>
      </c>
      <c r="T17" s="47">
        <f t="shared" si="0"/>
        <v>340</v>
      </c>
      <c r="U17" s="47">
        <f t="shared" si="0"/>
        <v>360</v>
      </c>
      <c r="V17" s="47">
        <f t="shared" si="0"/>
        <v>380</v>
      </c>
      <c r="W17" s="47">
        <f t="shared" si="0"/>
        <v>400</v>
      </c>
      <c r="X17" s="1"/>
      <c r="Y17" s="9"/>
      <c r="Z17" s="9"/>
      <c r="AA17" s="9"/>
      <c r="AB17" s="9"/>
      <c r="AC17" s="9"/>
      <c r="AD17" s="9"/>
    </row>
    <row r="18" spans="1:30" ht="14.25" customHeight="1" x14ac:dyDescent="0.3">
      <c r="A18" s="1"/>
      <c r="B18" t="s">
        <v>354</v>
      </c>
      <c r="C18" s="48">
        <f t="shared" ref="C18:W18" si="1">((Base_ProForma_EPS+((C17-Base_Synergy)*Phase_Y3*(1-Tax_Rate))/Total_Shares)/Base_SA_EPS)-1</f>
        <v>-7.0929614332060353E-4</v>
      </c>
      <c r="D18" s="48">
        <f t="shared" si="1"/>
        <v>6.4585974807762625E-4</v>
      </c>
      <c r="E18" s="48">
        <f t="shared" si="1"/>
        <v>2.001015639475856E-3</v>
      </c>
      <c r="F18" s="48">
        <f t="shared" si="1"/>
        <v>3.3561715308743079E-3</v>
      </c>
      <c r="G18" s="48">
        <f t="shared" si="1"/>
        <v>4.7113274222723156E-3</v>
      </c>
      <c r="H18" s="48">
        <f t="shared" si="1"/>
        <v>6.0664833136707674E-3</v>
      </c>
      <c r="I18" s="48">
        <f t="shared" si="1"/>
        <v>7.4216392050689972E-3</v>
      </c>
      <c r="J18" s="48">
        <f t="shared" si="1"/>
        <v>8.776795096467227E-3</v>
      </c>
      <c r="K18" s="48">
        <f t="shared" si="1"/>
        <v>1.0131950987865679E-2</v>
      </c>
      <c r="L18" s="48">
        <f t="shared" si="1"/>
        <v>1.1487106879263909E-2</v>
      </c>
      <c r="M18" s="48">
        <f t="shared" si="1"/>
        <v>1.2842262770662138E-2</v>
      </c>
      <c r="N18" s="48">
        <f t="shared" si="1"/>
        <v>1.419741866206059E-2</v>
      </c>
      <c r="O18" s="48">
        <f t="shared" si="1"/>
        <v>1.5552574553458598E-2</v>
      </c>
      <c r="P18" s="48">
        <f t="shared" si="1"/>
        <v>1.690773044485705E-2</v>
      </c>
      <c r="Q18" s="48">
        <f t="shared" si="1"/>
        <v>1.826288633625528E-2</v>
      </c>
      <c r="R18" s="48">
        <f t="shared" si="1"/>
        <v>1.9618042227653509E-2</v>
      </c>
      <c r="S18" s="48">
        <f t="shared" si="1"/>
        <v>2.0973198119051961E-2</v>
      </c>
      <c r="T18" s="48">
        <f t="shared" si="1"/>
        <v>2.2328354010450191E-2</v>
      </c>
      <c r="U18" s="48">
        <f t="shared" si="1"/>
        <v>2.3683509901848421E-2</v>
      </c>
      <c r="V18" s="48">
        <f t="shared" si="1"/>
        <v>2.5038665793246651E-2</v>
      </c>
      <c r="W18" s="48">
        <f t="shared" si="1"/>
        <v>2.6393821684645102E-2</v>
      </c>
      <c r="X18" s="48"/>
      <c r="Y18" s="48"/>
      <c r="Z18" s="48"/>
      <c r="AA18" s="9"/>
      <c r="AB18" s="9"/>
      <c r="AC18" s="9"/>
      <c r="AD18" s="9"/>
    </row>
    <row r="19" spans="1:30" ht="14.2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9"/>
      <c r="Z19" s="9"/>
      <c r="AA19" s="9"/>
      <c r="AB19" s="9"/>
      <c r="AC19" s="9"/>
      <c r="AD19" s="9"/>
    </row>
    <row r="20" spans="1:30" ht="14.25" customHeight="1" x14ac:dyDescent="0.3">
      <c r="A20" s="1"/>
      <c r="B20" s="31" t="s">
        <v>355</v>
      </c>
      <c r="C20" s="61">
        <f>FORECAST(0, C17:D17, C18:D18)</f>
        <v>10.468111422793761</v>
      </c>
      <c r="D20" s="5" t="s">
        <v>356</v>
      </c>
      <c r="F20" s="1"/>
      <c r="G20" s="1"/>
      <c r="H20" s="1"/>
      <c r="I20" s="1"/>
      <c r="J20" s="1"/>
      <c r="K20" s="1"/>
      <c r="L20" s="1"/>
      <c r="M20" s="1"/>
      <c r="N20" s="1"/>
      <c r="O20" s="1"/>
      <c r="P20" s="1"/>
      <c r="Q20" s="1"/>
      <c r="R20" s="1"/>
      <c r="S20" s="1"/>
      <c r="T20" s="1"/>
      <c r="U20" s="1"/>
      <c r="V20" s="1"/>
      <c r="W20" s="1"/>
      <c r="X20" s="1"/>
      <c r="Y20" s="9"/>
      <c r="Z20" s="9"/>
      <c r="AA20" s="9"/>
      <c r="AB20" s="9"/>
      <c r="AC20" s="9"/>
      <c r="AD20" s="9"/>
    </row>
    <row r="21" spans="1:30" ht="14.25" customHeight="1" x14ac:dyDescent="0.3">
      <c r="A21" s="1"/>
      <c r="B21" t="s">
        <v>403</v>
      </c>
      <c r="C21" s="60">
        <f>Assumptions!C14/Assumptions!C92</f>
        <v>0.99397590361445787</v>
      </c>
      <c r="D21" s="1"/>
      <c r="E21" s="1"/>
      <c r="F21" s="1"/>
      <c r="G21" s="1"/>
      <c r="H21" s="1"/>
      <c r="I21" s="1"/>
      <c r="J21" s="1"/>
      <c r="K21" s="1"/>
      <c r="L21" s="1"/>
      <c r="M21" s="1"/>
      <c r="N21" s="1"/>
      <c r="O21" s="1"/>
      <c r="P21" s="1"/>
      <c r="Q21" s="1"/>
      <c r="R21" s="1"/>
      <c r="S21" s="1"/>
      <c r="T21" s="1"/>
      <c r="U21" s="1"/>
      <c r="V21" s="1"/>
      <c r="W21" s="1"/>
      <c r="X21" s="1"/>
      <c r="Y21" s="9"/>
      <c r="Z21" s="9"/>
      <c r="AA21" s="9"/>
      <c r="AB21" s="9"/>
      <c r="AC21" s="9"/>
      <c r="AD21" s="9"/>
    </row>
    <row r="22" spans="1:30" ht="14.25" customHeight="1" x14ac:dyDescent="0.3">
      <c r="A22" s="1"/>
      <c r="D22" s="1"/>
      <c r="E22" s="1"/>
      <c r="F22" s="1"/>
      <c r="G22" s="1"/>
      <c r="H22" s="1"/>
      <c r="I22" s="1"/>
      <c r="J22" s="1"/>
      <c r="K22" s="1"/>
      <c r="L22" s="1"/>
      <c r="M22" s="1"/>
      <c r="N22" s="1"/>
      <c r="O22" s="1"/>
      <c r="P22" s="1"/>
      <c r="Q22" s="1"/>
      <c r="R22" s="1"/>
      <c r="S22" s="1"/>
      <c r="T22" s="1"/>
      <c r="U22" s="1"/>
      <c r="V22" s="1"/>
      <c r="W22" s="1"/>
      <c r="X22" s="1"/>
      <c r="Y22" s="9"/>
      <c r="Z22" s="9"/>
      <c r="AA22" s="9"/>
      <c r="AB22" s="9"/>
      <c r="AC22" s="9"/>
      <c r="AD22" s="9"/>
    </row>
    <row r="23" spans="1:30" ht="14.25" customHeight="1" x14ac:dyDescent="0.3">
      <c r="A23" s="1"/>
      <c r="B23" s="5" t="s">
        <v>357</v>
      </c>
      <c r="C23" s="49">
        <v>0.05</v>
      </c>
      <c r="D23" s="1"/>
      <c r="E23" s="1"/>
      <c r="F23" s="1"/>
      <c r="G23" s="1"/>
      <c r="H23" s="1"/>
      <c r="I23" s="1"/>
      <c r="J23" s="1"/>
      <c r="K23" s="1"/>
      <c r="L23" s="1"/>
      <c r="M23" s="1"/>
      <c r="N23" s="1"/>
      <c r="O23" s="1"/>
      <c r="P23" s="1"/>
      <c r="Q23" s="1"/>
      <c r="R23" s="1"/>
      <c r="S23" s="1"/>
      <c r="T23" s="1"/>
      <c r="U23" s="1"/>
      <c r="V23" s="1"/>
      <c r="W23" s="1"/>
      <c r="X23" s="1"/>
      <c r="Y23" s="9"/>
      <c r="Z23" s="9"/>
      <c r="AA23" s="9"/>
      <c r="AB23" s="9"/>
      <c r="AC23" s="9"/>
      <c r="AD23" s="9"/>
    </row>
    <row r="24" spans="1:30" ht="14.25" customHeight="1" x14ac:dyDescent="0.3">
      <c r="A24" s="1"/>
      <c r="B24" s="5" t="s">
        <v>358</v>
      </c>
      <c r="C24" s="49">
        <v>0.3</v>
      </c>
      <c r="D24" s="1"/>
      <c r="E24" s="1"/>
      <c r="F24" s="1"/>
      <c r="G24" s="1"/>
      <c r="H24" s="1"/>
      <c r="I24" s="1"/>
      <c r="J24" s="1"/>
      <c r="K24" s="1"/>
      <c r="L24" s="1"/>
      <c r="M24" s="1"/>
      <c r="N24" s="1"/>
      <c r="O24" s="1"/>
      <c r="P24" s="1"/>
      <c r="Q24" s="1"/>
      <c r="R24" s="1"/>
      <c r="S24" s="1"/>
      <c r="T24" s="1"/>
      <c r="U24" s="1"/>
      <c r="V24" s="1"/>
      <c r="W24" s="1"/>
      <c r="X24" s="1"/>
      <c r="Y24" s="9"/>
      <c r="Z24" s="9"/>
      <c r="AA24" s="9"/>
      <c r="AB24" s="9"/>
      <c r="AC24" s="9"/>
      <c r="AD24" s="9"/>
    </row>
  </sheetData>
  <pageMargins left="0.75" right="0.75" top="1" bottom="1" header="0.511811023622047" footer="0.511811023622047"/>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AG23"/>
  <sheetViews>
    <sheetView showGridLines="0" zoomScaleNormal="100" workbookViewId="0">
      <selection activeCell="Q15" sqref="Q15"/>
    </sheetView>
  </sheetViews>
  <sheetFormatPr defaultColWidth="8.59765625" defaultRowHeight="13.8" x14ac:dyDescent="0.25"/>
  <cols>
    <col min="1" max="1" width="1.8984375" customWidth="1"/>
    <col min="2" max="2" width="24" customWidth="1"/>
    <col min="3" max="7" width="14" customWidth="1"/>
    <col min="8" max="8" width="3" customWidth="1"/>
    <col min="9" max="9" width="24" customWidth="1"/>
    <col min="10" max="14" width="14" customWidth="1"/>
  </cols>
  <sheetData>
    <row r="1" spans="1:33" ht="14.25" customHeight="1" x14ac:dyDescent="0.3">
      <c r="A1" s="86"/>
      <c r="B1" s="86"/>
      <c r="C1" s="86"/>
      <c r="D1" s="86"/>
      <c r="E1" s="86"/>
      <c r="F1" s="86"/>
      <c r="G1" s="86"/>
      <c r="H1" s="87"/>
      <c r="I1" s="87"/>
      <c r="J1" s="87"/>
      <c r="K1" s="87"/>
      <c r="L1" s="87"/>
      <c r="M1" s="87"/>
      <c r="N1" s="87"/>
      <c r="O1" s="87"/>
      <c r="P1" s="85"/>
      <c r="Q1" s="85"/>
      <c r="R1" s="85"/>
      <c r="S1" s="85"/>
      <c r="T1" s="85"/>
      <c r="U1" s="85"/>
      <c r="V1" s="85"/>
      <c r="W1" s="85"/>
      <c r="X1" s="85"/>
      <c r="Y1" s="85"/>
      <c r="Z1" s="85"/>
      <c r="AA1" s="85"/>
      <c r="AB1" s="85"/>
      <c r="AC1" s="85"/>
      <c r="AD1" s="85"/>
      <c r="AE1" s="85"/>
      <c r="AF1" s="85"/>
      <c r="AG1" s="85"/>
    </row>
    <row r="2" spans="1:33" ht="21.75" customHeight="1" x14ac:dyDescent="0.4">
      <c r="A2" s="86"/>
      <c r="B2" s="88" t="s">
        <v>359</v>
      </c>
      <c r="C2" s="86"/>
      <c r="D2" s="86"/>
      <c r="E2" s="86"/>
      <c r="F2" s="86"/>
      <c r="G2" s="86"/>
      <c r="H2" s="87"/>
      <c r="I2" s="87"/>
      <c r="J2" s="87"/>
      <c r="K2" s="87"/>
      <c r="L2" s="87"/>
      <c r="M2" s="87"/>
      <c r="N2" s="87"/>
      <c r="O2" s="92"/>
      <c r="P2" s="91"/>
      <c r="Q2" s="91"/>
      <c r="R2" s="91"/>
      <c r="S2" s="91"/>
      <c r="T2" s="91"/>
      <c r="U2" s="91"/>
      <c r="V2" s="91"/>
      <c r="W2" s="91"/>
      <c r="X2" s="91"/>
      <c r="Y2" s="91"/>
      <c r="Z2" s="91"/>
      <c r="AA2" s="91"/>
      <c r="AB2" s="91"/>
      <c r="AC2" s="91"/>
      <c r="AD2" s="91"/>
    </row>
    <row r="3" spans="1:33" ht="14.25" customHeight="1" x14ac:dyDescent="0.3">
      <c r="A3" s="86"/>
      <c r="B3" s="90" t="s">
        <v>360</v>
      </c>
      <c r="C3" s="86"/>
      <c r="D3" s="86"/>
      <c r="E3" s="86"/>
      <c r="F3" s="86"/>
      <c r="G3" s="86"/>
      <c r="H3" s="87"/>
      <c r="I3" s="87"/>
      <c r="J3" s="87"/>
      <c r="K3" s="87"/>
      <c r="L3" s="87"/>
      <c r="M3" s="87"/>
      <c r="N3" s="87"/>
      <c r="O3" s="87"/>
      <c r="P3" s="85"/>
      <c r="Q3" s="85"/>
      <c r="R3" s="85"/>
      <c r="S3" s="85"/>
      <c r="T3" s="85"/>
      <c r="U3" s="85"/>
      <c r="V3" s="85"/>
      <c r="W3" s="85"/>
      <c r="X3" s="85"/>
      <c r="Y3" s="85"/>
      <c r="Z3" s="85"/>
      <c r="AA3" s="85"/>
      <c r="AB3" s="85"/>
      <c r="AC3" s="85"/>
      <c r="AD3" s="85"/>
    </row>
    <row r="4" spans="1:33" ht="14.25" customHeight="1" x14ac:dyDescent="0.3">
      <c r="A4" s="1"/>
      <c r="B4" s="1"/>
      <c r="C4" s="1"/>
      <c r="D4" s="1"/>
      <c r="E4" s="1"/>
      <c r="F4" s="1"/>
      <c r="G4" s="1"/>
      <c r="H4" s="9"/>
      <c r="I4" s="9"/>
      <c r="J4" s="9"/>
      <c r="K4" s="9"/>
      <c r="L4" s="9"/>
      <c r="M4" s="9"/>
      <c r="N4" s="9"/>
      <c r="O4" s="9"/>
      <c r="P4" s="9"/>
      <c r="Q4" s="9"/>
      <c r="R4" s="9"/>
      <c r="S4" s="9"/>
      <c r="T4" s="9"/>
      <c r="U4" s="9"/>
      <c r="V4" s="9"/>
      <c r="W4" s="9"/>
      <c r="X4" s="9"/>
      <c r="Y4" s="9"/>
      <c r="Z4" s="9"/>
      <c r="AA4" s="9"/>
      <c r="AB4" s="9"/>
      <c r="AC4" s="9"/>
      <c r="AD4" s="9"/>
    </row>
    <row r="5" spans="1:33" ht="14.25" customHeight="1" x14ac:dyDescent="0.3">
      <c r="A5" s="1"/>
      <c r="B5" s="1"/>
      <c r="C5" s="1"/>
      <c r="D5" s="1"/>
      <c r="E5" s="1"/>
      <c r="F5" s="1"/>
      <c r="G5" s="1"/>
      <c r="H5" s="9"/>
      <c r="I5" s="9"/>
      <c r="J5" s="9"/>
      <c r="K5" s="9"/>
      <c r="L5" s="9"/>
      <c r="M5" s="9"/>
      <c r="N5" s="9"/>
      <c r="O5" s="9"/>
      <c r="P5" s="9"/>
      <c r="Q5" s="9"/>
      <c r="R5" s="9"/>
      <c r="S5" s="9"/>
      <c r="T5" s="9"/>
      <c r="U5" s="9"/>
      <c r="V5" s="9"/>
      <c r="W5" s="9"/>
      <c r="X5" s="9"/>
      <c r="Y5" s="9"/>
      <c r="Z5" s="9"/>
      <c r="AA5" s="9"/>
      <c r="AB5" s="9"/>
      <c r="AC5" s="9"/>
      <c r="AD5" s="9"/>
    </row>
    <row r="6" spans="1:33" ht="14.25" customHeight="1" x14ac:dyDescent="0.3">
      <c r="A6" s="1"/>
      <c r="B6" s="2" t="s">
        <v>361</v>
      </c>
      <c r="C6" s="3"/>
      <c r="D6" s="3"/>
      <c r="E6" s="3"/>
      <c r="F6" s="3"/>
      <c r="G6" s="3"/>
      <c r="H6" s="9"/>
      <c r="I6" s="9"/>
      <c r="J6" s="9"/>
      <c r="K6" s="9"/>
      <c r="L6" s="9"/>
      <c r="M6" s="9"/>
      <c r="N6" s="9"/>
      <c r="O6" s="9"/>
      <c r="P6" s="9"/>
      <c r="Q6" s="9"/>
      <c r="R6" s="9"/>
      <c r="S6" s="9"/>
      <c r="T6" s="9"/>
      <c r="U6" s="9"/>
      <c r="V6" s="9"/>
      <c r="W6" s="9"/>
      <c r="X6" s="9"/>
      <c r="Y6" s="9"/>
      <c r="Z6" s="9"/>
      <c r="AA6" s="9"/>
      <c r="AB6" s="9"/>
      <c r="AC6" s="9"/>
      <c r="AD6" s="9"/>
    </row>
    <row r="7" spans="1:33" ht="3.6" customHeight="1" x14ac:dyDescent="0.3">
      <c r="A7" s="1"/>
      <c r="B7" s="1"/>
      <c r="C7" s="1"/>
      <c r="D7" s="1"/>
      <c r="E7" s="1"/>
      <c r="F7" s="1"/>
      <c r="G7" s="1"/>
      <c r="H7" s="9"/>
      <c r="I7" s="9"/>
      <c r="J7" s="9"/>
      <c r="K7" s="9"/>
      <c r="L7" s="9"/>
      <c r="M7" s="9"/>
      <c r="N7" s="9"/>
      <c r="O7" s="9"/>
      <c r="P7" s="9"/>
      <c r="Q7" s="9"/>
      <c r="R7" s="9"/>
      <c r="S7" s="9"/>
      <c r="T7" s="9"/>
      <c r="U7" s="9"/>
      <c r="V7" s="9"/>
      <c r="W7" s="9"/>
      <c r="X7" s="9"/>
      <c r="Y7" s="9"/>
      <c r="Z7" s="9"/>
      <c r="AA7" s="9"/>
      <c r="AB7" s="9"/>
      <c r="AC7" s="9"/>
      <c r="AD7" s="9"/>
    </row>
    <row r="8" spans="1:33" ht="14.25" customHeight="1" x14ac:dyDescent="0.3">
      <c r="A8" s="1"/>
      <c r="B8" s="74">
        <f>Accretion_Dilution!E12</f>
        <v>9.4543730421664477E-3</v>
      </c>
      <c r="C8" s="76">
        <v>0.1</v>
      </c>
      <c r="D8" s="52">
        <v>0.15</v>
      </c>
      <c r="E8" s="52">
        <v>0.2</v>
      </c>
      <c r="F8" s="52">
        <v>0.25</v>
      </c>
      <c r="G8" s="76">
        <v>0.3</v>
      </c>
      <c r="H8" s="9"/>
      <c r="I8" s="63" t="s">
        <v>404</v>
      </c>
      <c r="J8" s="62">
        <v>150</v>
      </c>
      <c r="K8" s="9"/>
      <c r="L8" s="9"/>
      <c r="M8" s="9"/>
      <c r="N8" s="9"/>
      <c r="O8" s="9"/>
      <c r="P8" s="9"/>
      <c r="Q8" s="9"/>
      <c r="R8" s="9"/>
      <c r="S8" s="9"/>
      <c r="T8" s="9"/>
      <c r="U8" s="9"/>
      <c r="V8" s="9"/>
      <c r="W8" s="9"/>
      <c r="X8" s="9"/>
      <c r="Y8" s="9"/>
      <c r="Z8" s="9"/>
      <c r="AA8" s="9"/>
      <c r="AB8" s="9"/>
      <c r="AC8" s="9"/>
      <c r="AD8" s="9"/>
    </row>
    <row r="9" spans="1:33" ht="14.25" customHeight="1" x14ac:dyDescent="0.3">
      <c r="A9" s="1"/>
      <c r="B9" s="81">
        <v>100</v>
      </c>
      <c r="C9" s="77">
        <f t="dataTable" ref="C9:G13" dt2D="1" dtr="1" r1="J9" r2="J8"/>
        <v>7.0798887024973453E-3</v>
      </c>
      <c r="D9" s="77">
        <v>6.7419240316814082E-3</v>
      </c>
      <c r="E9" s="77">
        <v>6.4041222746623414E-3</v>
      </c>
      <c r="F9" s="77">
        <v>6.066483313670607E-3</v>
      </c>
      <c r="G9" s="77">
        <v>5.6440592260107777E-3</v>
      </c>
      <c r="H9" s="9"/>
      <c r="I9" t="s">
        <v>27</v>
      </c>
      <c r="J9" s="73">
        <v>0.25</v>
      </c>
      <c r="K9" s="9"/>
      <c r="L9" s="9"/>
      <c r="M9" s="9"/>
      <c r="N9" s="9"/>
      <c r="O9" s="9"/>
      <c r="P9" s="9"/>
      <c r="Q9" s="9"/>
      <c r="R9" s="9"/>
      <c r="S9" s="9"/>
      <c r="T9" s="9"/>
      <c r="U9" s="9"/>
      <c r="V9" s="9"/>
      <c r="W9" s="9"/>
      <c r="X9" s="9"/>
      <c r="Y9" s="9"/>
      <c r="Z9" s="9"/>
      <c r="AA9" s="9"/>
      <c r="AB9" s="9"/>
      <c r="AC9" s="9"/>
      <c r="AD9" s="9"/>
    </row>
    <row r="10" spans="1:33" ht="14.25" customHeight="1" x14ac:dyDescent="0.3">
      <c r="A10" s="1"/>
      <c r="B10" s="81">
        <v>125</v>
      </c>
      <c r="C10" s="77">
        <v>8.7750589910502077E-3</v>
      </c>
      <c r="D10" s="77">
        <v>8.4366856485157075E-3</v>
      </c>
      <c r="E10" s="77">
        <v>8.0984754167757814E-3</v>
      </c>
      <c r="F10" s="77">
        <v>7.7604281779185278E-3</v>
      </c>
      <c r="G10" s="77">
        <v>7.337596009106012E-3</v>
      </c>
      <c r="H10" s="9"/>
      <c r="I10" s="63" t="s">
        <v>405</v>
      </c>
      <c r="J10" s="24">
        <v>0.6</v>
      </c>
      <c r="K10" s="9"/>
      <c r="L10" s="9"/>
      <c r="M10" s="9"/>
      <c r="N10" s="9"/>
      <c r="O10" s="9"/>
      <c r="P10" s="9"/>
      <c r="Q10" s="9"/>
      <c r="R10" s="9"/>
      <c r="S10" s="9"/>
      <c r="T10" s="9"/>
      <c r="U10" s="9"/>
      <c r="V10" s="9"/>
      <c r="W10" s="9"/>
      <c r="X10" s="9"/>
      <c r="Y10" s="9"/>
      <c r="Z10" s="9"/>
      <c r="AA10" s="9"/>
      <c r="AB10" s="9"/>
      <c r="AC10" s="9"/>
      <c r="AD10" s="9"/>
    </row>
    <row r="11" spans="1:33" ht="14.25" customHeight="1" x14ac:dyDescent="0.3">
      <c r="A11" s="1"/>
      <c r="B11" s="81">
        <v>150</v>
      </c>
      <c r="C11" s="77">
        <v>1.0470229279603071E-2</v>
      </c>
      <c r="D11" s="77">
        <v>1.0131447265350006E-2</v>
      </c>
      <c r="E11" s="82">
        <v>9.7928285588892213E-3</v>
      </c>
      <c r="F11" s="78">
        <v>9.4543730421664477E-3</v>
      </c>
      <c r="G11" s="77">
        <v>9.0311327922013886E-3</v>
      </c>
      <c r="H11" s="9"/>
      <c r="I11" s="9"/>
      <c r="J11" s="9"/>
      <c r="K11" s="9"/>
      <c r="L11" s="9"/>
      <c r="M11" s="9"/>
      <c r="N11" s="9"/>
      <c r="O11" s="9"/>
      <c r="P11" s="9"/>
      <c r="Q11" s="9"/>
      <c r="R11" s="9"/>
      <c r="S11" s="9"/>
      <c r="T11" s="9"/>
      <c r="U11" s="9"/>
      <c r="V11" s="9"/>
      <c r="W11" s="9"/>
      <c r="X11" s="9"/>
      <c r="Y11" s="9"/>
      <c r="Z11" s="9"/>
      <c r="AA11" s="9"/>
      <c r="AB11" s="9"/>
      <c r="AC11" s="9"/>
      <c r="AD11" s="9"/>
    </row>
    <row r="12" spans="1:33" ht="14.25" customHeight="1" x14ac:dyDescent="0.3">
      <c r="A12" s="1"/>
      <c r="B12" s="81">
        <v>175</v>
      </c>
      <c r="C12" s="77">
        <v>1.216539956815579E-2</v>
      </c>
      <c r="D12" s="77">
        <v>1.1826208882184306E-2</v>
      </c>
      <c r="E12" s="77">
        <v>1.1487181701002661E-2</v>
      </c>
      <c r="F12" s="77">
        <v>1.1148317906414226E-2</v>
      </c>
      <c r="G12" s="77">
        <v>1.0724669575296622E-2</v>
      </c>
      <c r="H12" s="9"/>
      <c r="I12" s="9"/>
      <c r="J12" s="9"/>
      <c r="K12" s="9"/>
      <c r="L12" s="9"/>
      <c r="M12" s="9"/>
      <c r="N12" s="9"/>
      <c r="O12" s="9"/>
      <c r="P12" s="9"/>
      <c r="Q12" s="9"/>
      <c r="R12" s="9"/>
      <c r="S12" s="9"/>
      <c r="T12" s="9"/>
      <c r="U12" s="9"/>
      <c r="V12" s="9"/>
      <c r="W12" s="9"/>
      <c r="X12" s="9"/>
      <c r="Y12" s="9"/>
      <c r="Z12" s="9"/>
      <c r="AA12" s="9"/>
      <c r="AB12" s="9"/>
      <c r="AC12" s="9"/>
      <c r="AD12" s="9"/>
    </row>
    <row r="13" spans="1:33" ht="14.25" customHeight="1" x14ac:dyDescent="0.3">
      <c r="A13" s="1"/>
      <c r="B13" s="81">
        <v>200</v>
      </c>
      <c r="C13" s="77">
        <v>1.3860569856708653E-2</v>
      </c>
      <c r="D13" s="77">
        <v>1.3520970499018604E-2</v>
      </c>
      <c r="E13" s="77">
        <v>1.3181534843116101E-2</v>
      </c>
      <c r="F13" s="77">
        <v>1.2842262770662147E-2</v>
      </c>
      <c r="G13" s="77">
        <v>1.2418206358391998E-2</v>
      </c>
      <c r="H13" s="9"/>
      <c r="I13" s="9"/>
      <c r="J13" s="9"/>
      <c r="K13" s="9"/>
      <c r="L13" s="9"/>
      <c r="M13" s="9"/>
      <c r="N13" s="9"/>
      <c r="O13" s="9"/>
      <c r="P13" s="9"/>
      <c r="Q13" s="9"/>
      <c r="R13" s="9"/>
      <c r="S13" s="9"/>
      <c r="T13" s="9"/>
      <c r="U13" s="9"/>
      <c r="V13" s="9"/>
      <c r="W13" s="9"/>
      <c r="X13" s="9"/>
      <c r="Y13" s="9"/>
      <c r="Z13" s="9"/>
      <c r="AA13" s="9"/>
      <c r="AB13" s="9"/>
      <c r="AC13" s="9"/>
      <c r="AD13" s="9"/>
    </row>
    <row r="14" spans="1:33" ht="14.25" customHeight="1" x14ac:dyDescent="0.3">
      <c r="A14" s="1"/>
      <c r="B14" s="1"/>
      <c r="C14" s="1"/>
      <c r="D14" s="1"/>
      <c r="E14" s="1"/>
      <c r="F14" s="1"/>
      <c r="G14" s="1"/>
      <c r="H14" s="9"/>
      <c r="I14" s="9"/>
      <c r="J14" s="9"/>
      <c r="K14" s="9"/>
      <c r="L14" s="9"/>
      <c r="M14" s="9"/>
      <c r="N14" s="9"/>
      <c r="O14" s="9"/>
      <c r="P14" s="9"/>
      <c r="Q14" s="9"/>
      <c r="R14" s="9"/>
      <c r="S14" s="9"/>
      <c r="T14" s="9"/>
      <c r="U14" s="9"/>
      <c r="V14" s="9"/>
      <c r="W14" s="9"/>
      <c r="X14" s="9"/>
      <c r="Y14" s="9"/>
      <c r="Z14" s="9"/>
      <c r="AA14" s="9"/>
      <c r="AB14" s="9"/>
      <c r="AC14" s="9"/>
      <c r="AD14" s="9"/>
    </row>
    <row r="15" spans="1:33" ht="14.25" customHeight="1" x14ac:dyDescent="0.3">
      <c r="A15" s="1"/>
      <c r="B15" s="1"/>
      <c r="C15" s="1"/>
      <c r="D15" s="1"/>
      <c r="E15" s="1"/>
      <c r="F15" s="1"/>
      <c r="G15" s="1"/>
      <c r="H15" s="9"/>
      <c r="I15" s="9"/>
      <c r="J15" s="9"/>
      <c r="K15" s="9"/>
      <c r="L15" s="9"/>
      <c r="M15" s="9"/>
      <c r="N15" s="9"/>
      <c r="O15" s="9"/>
      <c r="P15" s="9"/>
      <c r="Q15" s="9"/>
      <c r="R15" s="9"/>
      <c r="S15" s="9"/>
      <c r="T15" s="9"/>
      <c r="U15" s="9"/>
      <c r="V15" s="9"/>
      <c r="W15" s="9"/>
      <c r="X15" s="9"/>
      <c r="Y15" s="9"/>
      <c r="Z15" s="9"/>
      <c r="AA15" s="9"/>
      <c r="AB15" s="9"/>
      <c r="AC15" s="9"/>
      <c r="AD15" s="9"/>
    </row>
    <row r="16" spans="1:33" ht="14.25" customHeight="1" x14ac:dyDescent="0.3">
      <c r="A16" s="1"/>
      <c r="B16" s="2" t="s">
        <v>362</v>
      </c>
      <c r="C16" s="3"/>
      <c r="D16" s="3"/>
      <c r="E16" s="3"/>
      <c r="F16" s="3"/>
      <c r="G16" s="3"/>
      <c r="H16" s="9"/>
      <c r="I16" s="9"/>
      <c r="J16" s="9"/>
      <c r="K16" s="9"/>
      <c r="L16" s="9"/>
      <c r="M16" s="9"/>
      <c r="N16" s="9"/>
      <c r="O16" s="9"/>
      <c r="P16" s="9"/>
      <c r="Q16" s="9"/>
      <c r="R16" s="9"/>
      <c r="S16" s="9"/>
      <c r="T16" s="9"/>
      <c r="U16" s="9"/>
      <c r="V16" s="9"/>
      <c r="W16" s="9"/>
      <c r="X16" s="9"/>
      <c r="Y16" s="9"/>
      <c r="Z16" s="9"/>
      <c r="AA16" s="9"/>
      <c r="AB16" s="9"/>
      <c r="AC16" s="9"/>
      <c r="AD16" s="9"/>
    </row>
    <row r="17" spans="1:30" ht="3.6" customHeight="1" x14ac:dyDescent="0.3">
      <c r="A17" s="1"/>
      <c r="B17" s="1"/>
      <c r="C17" s="1"/>
      <c r="D17" s="1"/>
      <c r="E17" s="1"/>
      <c r="F17" s="1"/>
      <c r="G17" s="1"/>
      <c r="H17" s="9"/>
      <c r="I17" s="9"/>
      <c r="J17" s="9"/>
      <c r="K17" s="9"/>
      <c r="L17" s="9"/>
      <c r="M17" s="9"/>
      <c r="N17" s="9"/>
      <c r="O17" s="9"/>
      <c r="P17" s="9"/>
      <c r="Q17" s="9"/>
      <c r="R17" s="9"/>
      <c r="S17" s="9"/>
      <c r="T17" s="9"/>
      <c r="U17" s="9"/>
      <c r="V17" s="9"/>
      <c r="W17" s="9"/>
      <c r="X17" s="9"/>
      <c r="Y17" s="9"/>
      <c r="Z17" s="9"/>
      <c r="AA17" s="9"/>
      <c r="AB17" s="9"/>
      <c r="AC17" s="9"/>
      <c r="AD17" s="9"/>
    </row>
    <row r="18" spans="1:30" ht="14.25" customHeight="1" x14ac:dyDescent="0.3">
      <c r="A18" s="1"/>
      <c r="B18" s="75">
        <f>Accretion_Dilution!E12</f>
        <v>9.4543730421664477E-3</v>
      </c>
      <c r="C18" s="52">
        <v>0.4</v>
      </c>
      <c r="D18" s="52">
        <v>0.5</v>
      </c>
      <c r="E18" s="52">
        <v>0.6</v>
      </c>
      <c r="F18" s="52">
        <v>0.7</v>
      </c>
      <c r="G18" s="52">
        <v>0.8</v>
      </c>
      <c r="H18" s="9"/>
      <c r="I18" s="9"/>
      <c r="J18" s="9"/>
      <c r="K18" s="9"/>
      <c r="L18" s="9"/>
      <c r="M18" s="9"/>
      <c r="N18" s="9"/>
      <c r="O18" s="9"/>
      <c r="P18" s="9"/>
      <c r="Q18" s="9"/>
      <c r="R18" s="9"/>
      <c r="S18" s="9"/>
      <c r="T18" s="9"/>
      <c r="U18" s="9"/>
      <c r="V18" s="9"/>
      <c r="W18" s="9"/>
      <c r="X18" s="9"/>
      <c r="Y18" s="9"/>
      <c r="Z18" s="9"/>
      <c r="AA18" s="9"/>
      <c r="AB18" s="9"/>
      <c r="AC18" s="9"/>
      <c r="AD18" s="9"/>
    </row>
    <row r="19" spans="1:30" ht="14.25" customHeight="1" x14ac:dyDescent="0.3">
      <c r="A19" s="1"/>
      <c r="B19" s="50">
        <v>0.15</v>
      </c>
      <c r="C19" s="48">
        <f t="dataTable" ref="C19:G23" dt2D="1" dtr="1" r1="J10" r2="J9" ca="1"/>
        <v>7.1334380814443536E-3</v>
      </c>
      <c r="D19" s="48">
        <v>8.6303676143773354E-3</v>
      </c>
      <c r="E19" s="48">
        <v>1.0131447265350006E-2</v>
      </c>
      <c r="F19" s="48">
        <v>1.1349949906314325E-2</v>
      </c>
      <c r="G19" s="48">
        <v>1.1930254991372976E-2</v>
      </c>
      <c r="H19" s="9"/>
      <c r="I19" s="9"/>
      <c r="J19" s="9"/>
      <c r="K19" s="9"/>
      <c r="L19" s="9"/>
      <c r="M19" s="9"/>
      <c r="N19" s="9"/>
      <c r="O19" s="9"/>
      <c r="P19" s="9"/>
      <c r="Q19" s="9"/>
      <c r="R19" s="9"/>
      <c r="S19" s="9"/>
      <c r="T19" s="9"/>
      <c r="U19" s="9"/>
      <c r="V19" s="9"/>
      <c r="W19" s="9"/>
      <c r="X19" s="9"/>
      <c r="Y19" s="9"/>
      <c r="Z19" s="9"/>
      <c r="AA19" s="9"/>
      <c r="AB19" s="9"/>
      <c r="AC19" s="9"/>
      <c r="AD19" s="9"/>
    </row>
    <row r="20" spans="1:30" ht="14.25" customHeight="1" x14ac:dyDescent="0.3">
      <c r="A20" s="1"/>
      <c r="B20" s="50">
        <v>0.2</v>
      </c>
      <c r="C20" s="48">
        <v>6.6665754419758154E-3</v>
      </c>
      <c r="D20" s="48">
        <v>8.2274447779656264E-3</v>
      </c>
      <c r="E20" s="48">
        <v>9.7928285588892213E-3</v>
      </c>
      <c r="F20" s="48">
        <v>1.0793840964944148E-2</v>
      </c>
      <c r="G20" s="48">
        <v>1.1398496981069702E-2</v>
      </c>
      <c r="H20" s="9"/>
      <c r="I20" s="9"/>
      <c r="J20" s="9"/>
      <c r="K20" s="9"/>
      <c r="L20" s="9"/>
      <c r="M20" s="9"/>
      <c r="N20" s="9"/>
      <c r="O20" s="9"/>
      <c r="P20" s="9"/>
      <c r="Q20" s="9"/>
      <c r="R20" s="9"/>
      <c r="S20" s="9"/>
      <c r="T20" s="9"/>
      <c r="U20" s="9"/>
      <c r="V20" s="9"/>
      <c r="W20" s="9"/>
      <c r="X20" s="9"/>
      <c r="Y20" s="9"/>
      <c r="Z20" s="9"/>
      <c r="AA20" s="9"/>
      <c r="AB20" s="9"/>
      <c r="AC20" s="9"/>
      <c r="AD20" s="9"/>
    </row>
    <row r="21" spans="1:30" ht="14.25" customHeight="1" x14ac:dyDescent="0.3">
      <c r="A21" s="1"/>
      <c r="B21" s="50">
        <v>0.25</v>
      </c>
      <c r="C21" s="48">
        <v>6.2000492800853143E-3</v>
      </c>
      <c r="D21" s="48">
        <v>7.8247643011541013E-3</v>
      </c>
      <c r="E21" s="51">
        <v>9.4543730421664477E-3</v>
      </c>
      <c r="F21" s="48">
        <v>1.0237933329977555E-2</v>
      </c>
      <c r="G21" s="48">
        <v>1.086686749233943E-2</v>
      </c>
      <c r="H21" s="9"/>
      <c r="I21" s="9"/>
      <c r="J21" s="9"/>
      <c r="K21" s="9"/>
      <c r="L21" s="9"/>
      <c r="M21" s="9"/>
      <c r="N21" s="9"/>
      <c r="O21" s="9"/>
      <c r="P21" s="9"/>
      <c r="Q21" s="9"/>
      <c r="R21" s="9"/>
      <c r="S21" s="9"/>
      <c r="T21" s="9"/>
      <c r="U21" s="9"/>
      <c r="V21" s="9"/>
      <c r="W21" s="9"/>
      <c r="X21" s="9"/>
      <c r="Y21" s="9"/>
      <c r="Z21" s="9"/>
      <c r="AA21" s="9"/>
      <c r="AB21" s="9"/>
      <c r="AC21" s="9"/>
      <c r="AD21" s="9"/>
    </row>
    <row r="22" spans="1:30" ht="14.25" customHeight="1" x14ac:dyDescent="0.3">
      <c r="A22" s="1"/>
      <c r="B22" s="50">
        <v>0.3</v>
      </c>
      <c r="C22" s="48">
        <v>5.7338592321443437E-3</v>
      </c>
      <c r="D22" s="48">
        <v>7.4223259653394165E-3</v>
      </c>
      <c r="E22" s="48">
        <v>9.0311327922013886E-3</v>
      </c>
      <c r="F22" s="48">
        <v>9.6822268921283611E-3</v>
      </c>
      <c r="G22" s="48">
        <v>1.0335366478594617E-2</v>
      </c>
      <c r="H22" s="9"/>
      <c r="I22" s="9"/>
      <c r="J22" s="9"/>
      <c r="K22" s="9"/>
      <c r="L22" s="9"/>
      <c r="M22" s="9"/>
      <c r="N22" s="9"/>
      <c r="O22" s="9"/>
      <c r="P22" s="9"/>
      <c r="Q22" s="9"/>
      <c r="R22" s="9"/>
      <c r="S22" s="9"/>
      <c r="T22" s="9"/>
      <c r="U22" s="9"/>
      <c r="V22" s="9"/>
      <c r="W22" s="9"/>
      <c r="X22" s="9"/>
      <c r="Y22" s="9"/>
      <c r="Z22" s="9"/>
      <c r="AA22" s="9"/>
      <c r="AB22" s="9"/>
      <c r="AC22" s="9"/>
      <c r="AD22" s="9"/>
    </row>
    <row r="23" spans="1:30" ht="14.25" customHeight="1" x14ac:dyDescent="0.3">
      <c r="A23" s="1"/>
      <c r="B23" s="50">
        <v>0.35</v>
      </c>
      <c r="C23" s="48">
        <v>5.2680049350479667E-3</v>
      </c>
      <c r="D23" s="48">
        <v>7.0201295521793708E-3</v>
      </c>
      <c r="E23" s="48">
        <v>8.4516513049665652E-3</v>
      </c>
      <c r="F23" s="48">
        <v>9.1267215421886698E-3</v>
      </c>
      <c r="G23" s="48">
        <v>9.8039938932693148E-3</v>
      </c>
      <c r="H23" s="9"/>
      <c r="I23" s="9"/>
      <c r="J23" s="9"/>
      <c r="K23" s="9"/>
      <c r="L23" s="9"/>
      <c r="M23" s="9"/>
      <c r="N23" s="9"/>
      <c r="O23" s="9"/>
      <c r="P23" s="9"/>
      <c r="Q23" s="9"/>
      <c r="R23" s="9"/>
      <c r="S23" s="9"/>
      <c r="T23" s="9"/>
      <c r="U23" s="9"/>
      <c r="V23" s="9"/>
      <c r="W23" s="9"/>
      <c r="X23" s="9"/>
      <c r="Y23" s="9"/>
      <c r="Z23" s="9"/>
      <c r="AA23" s="9"/>
      <c r="AB23" s="9"/>
      <c r="AC23" s="9"/>
      <c r="AD23" s="9"/>
    </row>
  </sheetData>
  <pageMargins left="0.75" right="0.75" top="1" bottom="1" header="0.511811023622047" footer="0.511811023622047"/>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AD30"/>
  <sheetViews>
    <sheetView showGridLines="0" zoomScaleNormal="100" workbookViewId="0">
      <selection activeCell="N7" sqref="N7"/>
    </sheetView>
  </sheetViews>
  <sheetFormatPr defaultColWidth="8.59765625" defaultRowHeight="13.8" x14ac:dyDescent="0.25"/>
  <cols>
    <col min="1" max="1" width="1.8984375" customWidth="1"/>
    <col min="2" max="2" width="42" customWidth="1"/>
    <col min="3" max="3" width="14" customWidth="1"/>
    <col min="4" max="4" width="18" customWidth="1"/>
    <col min="5" max="5" width="14" customWidth="1"/>
    <col min="6" max="6" width="40" customWidth="1"/>
  </cols>
  <sheetData>
    <row r="1" spans="1:30" ht="14.25" customHeight="1" x14ac:dyDescent="0.3">
      <c r="A1" s="86"/>
      <c r="B1" s="86"/>
      <c r="C1" s="86"/>
      <c r="D1" s="86"/>
      <c r="E1" s="86"/>
      <c r="F1" s="86"/>
      <c r="G1" s="87"/>
      <c r="H1" s="87"/>
      <c r="I1" s="87"/>
      <c r="J1" s="87"/>
      <c r="K1" s="87"/>
      <c r="L1" s="87"/>
      <c r="M1" s="87"/>
      <c r="N1" s="85"/>
      <c r="O1" s="85"/>
      <c r="P1" s="85"/>
      <c r="Q1" s="85"/>
      <c r="R1" s="85"/>
      <c r="S1" s="85"/>
      <c r="T1" s="85"/>
      <c r="U1" s="85"/>
      <c r="V1" s="85"/>
      <c r="W1" s="85"/>
      <c r="X1" s="85"/>
      <c r="Y1" s="85"/>
      <c r="Z1" s="85"/>
      <c r="AA1" s="85"/>
      <c r="AB1" s="85"/>
      <c r="AC1" s="85"/>
      <c r="AD1" s="85"/>
    </row>
    <row r="2" spans="1:30" ht="21.75" customHeight="1" x14ac:dyDescent="0.4">
      <c r="A2" s="86"/>
      <c r="B2" s="88" t="s">
        <v>363</v>
      </c>
      <c r="C2" s="86"/>
      <c r="D2" s="86"/>
      <c r="E2" s="86"/>
      <c r="F2" s="86"/>
      <c r="G2" s="87"/>
      <c r="H2" s="87"/>
      <c r="I2" s="87"/>
      <c r="J2" s="87"/>
      <c r="K2" s="87"/>
      <c r="L2" s="87"/>
      <c r="M2" s="87"/>
      <c r="N2" s="85"/>
      <c r="O2" s="85"/>
      <c r="P2" s="85"/>
      <c r="Q2" s="85"/>
      <c r="R2" s="85"/>
      <c r="S2" s="85"/>
      <c r="T2" s="85"/>
      <c r="U2" s="85"/>
      <c r="V2" s="85"/>
      <c r="W2" s="85"/>
      <c r="X2" s="85"/>
      <c r="Y2" s="85"/>
      <c r="Z2" s="85"/>
      <c r="AA2" s="85"/>
      <c r="AB2" s="85"/>
      <c r="AC2" s="85"/>
      <c r="AD2" s="85"/>
    </row>
    <row r="3" spans="1:30" ht="14.25" customHeight="1" x14ac:dyDescent="0.3">
      <c r="A3" s="86"/>
      <c r="B3" s="90" t="s">
        <v>364</v>
      </c>
      <c r="C3" s="86"/>
      <c r="D3" s="86"/>
      <c r="E3" s="86"/>
      <c r="F3" s="86"/>
      <c r="G3" s="87"/>
      <c r="H3" s="87"/>
      <c r="I3" s="87"/>
      <c r="J3" s="87"/>
      <c r="K3" s="87"/>
      <c r="L3" s="87"/>
      <c r="M3" s="87"/>
      <c r="N3" s="85"/>
      <c r="O3" s="85"/>
      <c r="P3" s="85"/>
      <c r="Q3" s="85"/>
      <c r="R3" s="85"/>
      <c r="S3" s="85"/>
      <c r="T3" s="85"/>
      <c r="U3" s="85"/>
      <c r="V3" s="85"/>
      <c r="W3" s="85"/>
      <c r="X3" s="85"/>
      <c r="Y3" s="85"/>
      <c r="Z3" s="85"/>
      <c r="AA3" s="85"/>
      <c r="AB3" s="85"/>
      <c r="AC3" s="85"/>
      <c r="AD3" s="85"/>
    </row>
    <row r="4" spans="1:30" ht="14.25" customHeight="1" x14ac:dyDescent="0.3">
      <c r="A4" s="1"/>
      <c r="B4" s="1"/>
      <c r="C4" s="1"/>
      <c r="D4" s="1"/>
      <c r="E4" s="1"/>
      <c r="F4" s="1"/>
      <c r="G4" s="9"/>
      <c r="H4" s="9"/>
      <c r="I4" s="9"/>
      <c r="J4" s="9"/>
      <c r="K4" s="9"/>
      <c r="L4" s="9"/>
      <c r="M4" s="9"/>
      <c r="N4" s="9"/>
      <c r="O4" s="9"/>
      <c r="P4" s="9"/>
      <c r="Q4" s="9"/>
      <c r="R4" s="9"/>
      <c r="S4" s="9"/>
      <c r="T4" s="9"/>
      <c r="U4" s="9"/>
      <c r="V4" s="9"/>
      <c r="W4" s="9"/>
      <c r="X4" s="9"/>
      <c r="Y4" s="9"/>
      <c r="Z4" s="9"/>
      <c r="AA4" s="9"/>
      <c r="AB4" s="9"/>
      <c r="AC4" s="9"/>
      <c r="AD4" s="9"/>
    </row>
    <row r="5" spans="1:30" ht="14.25" customHeight="1" x14ac:dyDescent="0.3">
      <c r="A5" s="1"/>
      <c r="B5" s="1"/>
      <c r="C5" s="1"/>
      <c r="D5" s="1"/>
      <c r="E5" s="1"/>
      <c r="F5" s="1"/>
      <c r="G5" s="9"/>
      <c r="H5" s="9"/>
      <c r="I5" s="9"/>
      <c r="J5" s="9"/>
      <c r="K5" s="9"/>
      <c r="L5" s="9"/>
      <c r="M5" s="9"/>
      <c r="N5" s="9"/>
      <c r="O5" s="9"/>
      <c r="P5" s="9"/>
      <c r="Q5" s="9"/>
      <c r="R5" s="9"/>
      <c r="S5" s="9"/>
      <c r="T5" s="9"/>
      <c r="U5" s="9"/>
      <c r="V5" s="9"/>
      <c r="W5" s="9"/>
      <c r="X5" s="9"/>
      <c r="Y5" s="9"/>
      <c r="Z5" s="9"/>
      <c r="AA5" s="9"/>
      <c r="AB5" s="9"/>
      <c r="AC5" s="9"/>
      <c r="AD5" s="9"/>
    </row>
    <row r="6" spans="1:30" ht="14.25" customHeight="1" x14ac:dyDescent="0.3">
      <c r="A6" s="1"/>
      <c r="B6" s="53" t="s">
        <v>365</v>
      </c>
      <c r="C6" s="53" t="s">
        <v>366</v>
      </c>
      <c r="D6" s="53" t="s">
        <v>367</v>
      </c>
      <c r="E6" s="53" t="s">
        <v>368</v>
      </c>
      <c r="F6" s="53" t="s">
        <v>369</v>
      </c>
      <c r="G6" s="9"/>
      <c r="H6" s="9"/>
      <c r="I6" s="9"/>
      <c r="J6" s="9"/>
      <c r="K6" s="9"/>
      <c r="L6" s="9"/>
      <c r="M6" s="9"/>
      <c r="N6" s="9"/>
      <c r="O6" s="9"/>
      <c r="P6" s="9"/>
      <c r="Q6" s="9"/>
      <c r="R6" s="9"/>
      <c r="S6" s="9"/>
      <c r="T6" s="9"/>
      <c r="U6" s="9"/>
      <c r="V6" s="9"/>
      <c r="W6" s="9"/>
      <c r="X6" s="9"/>
      <c r="Y6" s="9"/>
      <c r="Z6" s="9"/>
      <c r="AA6" s="9"/>
      <c r="AB6" s="9"/>
      <c r="AC6" s="9"/>
      <c r="AD6" s="9"/>
    </row>
    <row r="7" spans="1:30" ht="14.25" customHeight="1" x14ac:dyDescent="0.3">
      <c r="A7" s="1"/>
      <c r="B7" t="s">
        <v>370</v>
      </c>
      <c r="C7" s="54" t="str">
        <f t="shared" ref="C7:C26" si="0">IF(ABS(D7)&lt;=E7,"PASS","FAIL")</f>
        <v>PASS</v>
      </c>
      <c r="D7" s="83">
        <f>Transaction_Summary!C13</f>
        <v>0</v>
      </c>
      <c r="E7" s="27">
        <f t="shared" ref="E7:E13" si="1">0.01</f>
        <v>0.01</v>
      </c>
      <c r="F7" s="5" t="s">
        <v>371</v>
      </c>
      <c r="G7" s="9"/>
      <c r="H7" s="9"/>
      <c r="I7" s="9"/>
      <c r="J7" s="9"/>
      <c r="K7" s="9"/>
      <c r="L7" s="9"/>
      <c r="M7" s="9"/>
      <c r="N7" s="9"/>
      <c r="O7" s="9"/>
      <c r="P7" s="9"/>
      <c r="Q7" s="9"/>
      <c r="R7" s="9"/>
      <c r="S7" s="9"/>
      <c r="T7" s="9"/>
      <c r="U7" s="9"/>
      <c r="V7" s="9"/>
      <c r="W7" s="9"/>
      <c r="X7" s="9"/>
      <c r="Y7" s="9"/>
      <c r="Z7" s="9"/>
      <c r="AA7" s="9"/>
      <c r="AB7" s="9"/>
      <c r="AC7" s="9"/>
      <c r="AD7" s="9"/>
    </row>
    <row r="8" spans="1:30" ht="14.25" customHeight="1" x14ac:dyDescent="0.3">
      <c r="A8" s="1"/>
      <c r="B8" t="s">
        <v>372</v>
      </c>
      <c r="C8" s="54" t="str">
        <f t="shared" si="0"/>
        <v>PASS</v>
      </c>
      <c r="D8" s="83">
        <f>Transaction_Summary!C24</f>
        <v>0</v>
      </c>
      <c r="E8" s="27">
        <f t="shared" si="1"/>
        <v>0.01</v>
      </c>
      <c r="F8" s="5" t="s">
        <v>373</v>
      </c>
      <c r="G8" s="9"/>
      <c r="H8" s="9"/>
      <c r="I8" s="9"/>
      <c r="J8" s="9"/>
      <c r="K8" s="9"/>
      <c r="L8" s="9"/>
      <c r="M8" s="9"/>
      <c r="N8" s="9"/>
      <c r="O8" s="9"/>
      <c r="P8" s="9"/>
      <c r="Q8" s="9"/>
      <c r="R8" s="9"/>
      <c r="S8" s="9"/>
      <c r="T8" s="9"/>
      <c r="U8" s="9"/>
      <c r="V8" s="9"/>
      <c r="W8" s="9"/>
      <c r="X8" s="9"/>
      <c r="Y8" s="9"/>
      <c r="Z8" s="9"/>
      <c r="AA8" s="9"/>
      <c r="AB8" s="9"/>
      <c r="AC8" s="9"/>
      <c r="AD8" s="9"/>
    </row>
    <row r="9" spans="1:30" ht="14.25" customHeight="1" x14ac:dyDescent="0.3">
      <c r="A9" s="1"/>
      <c r="B9" t="s">
        <v>374</v>
      </c>
      <c r="C9" s="54" t="str">
        <f>IF(ABS(D9)&lt;=E9,"PASS","FAIL")</f>
        <v>PASS</v>
      </c>
      <c r="D9" s="83">
        <f>Accretion_Dilution!C27</f>
        <v>1.7905676941154525E-12</v>
      </c>
      <c r="E9" s="27">
        <f t="shared" si="1"/>
        <v>0.01</v>
      </c>
      <c r="F9" s="5" t="s">
        <v>375</v>
      </c>
      <c r="G9" s="9"/>
      <c r="H9" s="9"/>
      <c r="I9" s="9"/>
      <c r="J9" s="9"/>
      <c r="K9" s="9"/>
      <c r="L9" s="9"/>
      <c r="M9" s="9"/>
      <c r="N9" s="9"/>
      <c r="O9" s="9"/>
      <c r="P9" s="9"/>
      <c r="Q9" s="9"/>
      <c r="R9" s="9"/>
      <c r="S9" s="9"/>
      <c r="T9" s="9"/>
      <c r="U9" s="9"/>
      <c r="V9" s="9"/>
      <c r="W9" s="9"/>
      <c r="X9" s="9"/>
      <c r="Y9" s="9"/>
      <c r="Z9" s="9"/>
      <c r="AA9" s="9"/>
      <c r="AB9" s="9"/>
      <c r="AC9" s="9"/>
      <c r="AD9" s="9"/>
    </row>
    <row r="10" spans="1:30" ht="14.25" customHeight="1" x14ac:dyDescent="0.3">
      <c r="A10" s="1"/>
      <c r="B10" t="s">
        <v>376</v>
      </c>
      <c r="C10" s="54" t="str">
        <f t="shared" si="0"/>
        <v>PASS</v>
      </c>
      <c r="D10" s="83">
        <f>Accretion_Dilution!D27</f>
        <v>-1.84385839929746E-12</v>
      </c>
      <c r="E10" s="27">
        <f t="shared" si="1"/>
        <v>0.01</v>
      </c>
      <c r="F10" s="1"/>
      <c r="G10" s="9"/>
      <c r="H10" s="9"/>
      <c r="I10" s="9"/>
      <c r="J10" s="9"/>
      <c r="K10" s="9"/>
      <c r="L10" s="9"/>
      <c r="M10" s="9"/>
      <c r="N10" s="9"/>
      <c r="O10" s="9"/>
      <c r="P10" s="9"/>
      <c r="Q10" s="9"/>
      <c r="R10" s="9"/>
      <c r="S10" s="9"/>
      <c r="T10" s="9"/>
      <c r="U10" s="9"/>
      <c r="V10" s="9"/>
      <c r="W10" s="9"/>
      <c r="X10" s="9"/>
      <c r="Y10" s="9"/>
      <c r="Z10" s="9"/>
      <c r="AA10" s="9"/>
      <c r="AB10" s="9"/>
      <c r="AC10" s="9"/>
      <c r="AD10" s="9"/>
    </row>
    <row r="11" spans="1:30" ht="14.25" customHeight="1" x14ac:dyDescent="0.3">
      <c r="A11" s="1"/>
      <c r="B11" t="s">
        <v>377</v>
      </c>
      <c r="C11" s="54" t="str">
        <f t="shared" si="0"/>
        <v>PASS</v>
      </c>
      <c r="D11" s="83">
        <f>Accretion_Dilution!E27</f>
        <v>-1.7053025658242404E-12</v>
      </c>
      <c r="E11" s="27">
        <f t="shared" si="1"/>
        <v>0.01</v>
      </c>
      <c r="F11" s="1"/>
      <c r="G11" s="9"/>
      <c r="H11" s="9"/>
      <c r="I11" s="9"/>
      <c r="J11" s="9"/>
      <c r="K11" s="9"/>
      <c r="L11" s="9"/>
      <c r="M11" s="9"/>
      <c r="N11" s="9"/>
      <c r="O11" s="9"/>
      <c r="P11" s="9"/>
      <c r="Q11" s="9"/>
      <c r="R11" s="9"/>
      <c r="S11" s="9"/>
      <c r="T11" s="9"/>
      <c r="U11" s="9"/>
      <c r="V11" s="9"/>
      <c r="W11" s="9"/>
      <c r="X11" s="9"/>
      <c r="Y11" s="9"/>
      <c r="Z11" s="9"/>
      <c r="AA11" s="9"/>
      <c r="AB11" s="9"/>
      <c r="AC11" s="9"/>
      <c r="AD11" s="9"/>
    </row>
    <row r="12" spans="1:30" ht="14.25" customHeight="1" x14ac:dyDescent="0.3">
      <c r="A12" s="1"/>
      <c r="B12" t="s">
        <v>378</v>
      </c>
      <c r="C12" s="54" t="str">
        <f t="shared" si="0"/>
        <v>PASS</v>
      </c>
      <c r="D12" s="83">
        <f>Accretion_Dilution!F27</f>
        <v>2.7284841053187847E-12</v>
      </c>
      <c r="E12" s="27">
        <f t="shared" si="1"/>
        <v>0.01</v>
      </c>
      <c r="F12" s="1"/>
      <c r="G12" s="9"/>
      <c r="H12" s="9"/>
      <c r="I12" s="9"/>
      <c r="J12" s="9"/>
      <c r="K12" s="9"/>
      <c r="L12" s="9"/>
      <c r="M12" s="9"/>
      <c r="N12" s="9"/>
      <c r="O12" s="9"/>
      <c r="P12" s="9"/>
      <c r="Q12" s="9"/>
      <c r="R12" s="9"/>
      <c r="S12" s="9"/>
      <c r="T12" s="9"/>
      <c r="U12" s="9"/>
      <c r="V12" s="9"/>
      <c r="W12" s="9"/>
      <c r="X12" s="9"/>
      <c r="Y12" s="9"/>
      <c r="Z12" s="9"/>
      <c r="AA12" s="9"/>
      <c r="AB12" s="9"/>
      <c r="AC12" s="9"/>
      <c r="AD12" s="9"/>
    </row>
    <row r="13" spans="1:30" ht="14.25" customHeight="1" x14ac:dyDescent="0.3">
      <c r="A13" s="1"/>
      <c r="B13" t="s">
        <v>379</v>
      </c>
      <c r="C13" s="54" t="str">
        <f t="shared" si="0"/>
        <v>PASS</v>
      </c>
      <c r="D13" s="83">
        <f>Accretion_Dilution!G27</f>
        <v>-7.3896444519050419E-13</v>
      </c>
      <c r="E13" s="27">
        <f t="shared" si="1"/>
        <v>0.01</v>
      </c>
      <c r="F13" s="1"/>
      <c r="G13" s="9"/>
      <c r="H13" s="9"/>
      <c r="I13" s="9"/>
      <c r="J13" s="9"/>
      <c r="K13" s="9"/>
      <c r="L13" s="9"/>
      <c r="M13" s="9"/>
      <c r="N13" s="9"/>
      <c r="O13" s="9"/>
      <c r="P13" s="9"/>
      <c r="Q13" s="9"/>
      <c r="R13" s="9"/>
      <c r="S13" s="9"/>
      <c r="T13" s="9"/>
      <c r="U13" s="9"/>
      <c r="V13" s="9"/>
      <c r="W13" s="9"/>
      <c r="X13" s="9"/>
      <c r="Y13" s="9"/>
      <c r="Z13" s="9"/>
      <c r="AA13" s="9"/>
      <c r="AB13" s="9"/>
      <c r="AC13" s="9"/>
      <c r="AD13" s="9"/>
    </row>
    <row r="14" spans="1:30" ht="14.25" customHeight="1" x14ac:dyDescent="0.3">
      <c r="A14" s="1"/>
      <c r="B14" t="s">
        <v>380</v>
      </c>
      <c r="C14" s="54" t="str">
        <f t="shared" si="0"/>
        <v>PASS</v>
      </c>
      <c r="D14" s="83">
        <f>Accretion_Dilution!E46</f>
        <v>0</v>
      </c>
      <c r="E14" s="27">
        <f>0.01</f>
        <v>0.01</v>
      </c>
      <c r="F14" s="5" t="s">
        <v>381</v>
      </c>
      <c r="G14" s="9"/>
      <c r="H14" s="9"/>
      <c r="I14" s="9"/>
      <c r="J14" s="9"/>
      <c r="K14" s="9"/>
      <c r="L14" s="9"/>
      <c r="M14" s="9"/>
      <c r="N14" s="9"/>
      <c r="O14" s="9"/>
      <c r="P14" s="9"/>
      <c r="Q14" s="9"/>
      <c r="R14" s="9"/>
      <c r="S14" s="9"/>
      <c r="T14" s="9"/>
      <c r="U14" s="9"/>
      <c r="V14" s="9"/>
      <c r="W14" s="9"/>
      <c r="X14" s="9"/>
      <c r="Y14" s="9"/>
      <c r="Z14" s="9"/>
      <c r="AA14" s="9"/>
      <c r="AB14" s="9"/>
      <c r="AC14" s="9"/>
      <c r="AD14" s="9"/>
    </row>
    <row r="15" spans="1:30" ht="14.25" customHeight="1" x14ac:dyDescent="0.3">
      <c r="A15" s="1"/>
      <c r="B15" t="s">
        <v>382</v>
      </c>
      <c r="C15" s="54" t="str">
        <f t="shared" si="0"/>
        <v>PASS</v>
      </c>
      <c r="D15" s="83">
        <f>Pro_Forma_BS!C29</f>
        <v>0</v>
      </c>
      <c r="E15" s="27">
        <v>0.01</v>
      </c>
      <c r="F15" s="5" t="s">
        <v>383</v>
      </c>
      <c r="G15" s="9"/>
      <c r="H15" s="9"/>
      <c r="I15" s="9"/>
      <c r="J15" s="9"/>
      <c r="K15" s="9"/>
      <c r="L15" s="9"/>
      <c r="M15" s="9"/>
      <c r="N15" s="9"/>
      <c r="O15" s="9"/>
      <c r="P15" s="9"/>
      <c r="Q15" s="9"/>
      <c r="R15" s="9"/>
      <c r="S15" s="9"/>
      <c r="T15" s="9"/>
      <c r="U15" s="9"/>
      <c r="V15" s="9"/>
      <c r="W15" s="9"/>
      <c r="X15" s="9"/>
      <c r="Y15" s="9"/>
      <c r="Z15" s="9"/>
      <c r="AA15" s="9"/>
      <c r="AB15" s="9"/>
      <c r="AC15" s="9"/>
      <c r="AD15" s="9"/>
    </row>
    <row r="16" spans="1:30" ht="14.25" customHeight="1" x14ac:dyDescent="0.3">
      <c r="A16" s="1"/>
      <c r="B16" t="s">
        <v>384</v>
      </c>
      <c r="C16" s="54" t="str">
        <f t="shared" si="0"/>
        <v>PASS</v>
      </c>
      <c r="D16" s="83">
        <f>Pro_Forma_BS!D29</f>
        <v>0</v>
      </c>
      <c r="E16" s="27">
        <v>0.01</v>
      </c>
      <c r="F16" s="1"/>
      <c r="G16" s="9"/>
      <c r="H16" s="9"/>
      <c r="I16" s="9"/>
      <c r="J16" s="9"/>
      <c r="K16" s="9"/>
      <c r="L16" s="9"/>
      <c r="M16" s="9"/>
      <c r="N16" s="9"/>
      <c r="O16" s="9"/>
      <c r="P16" s="9"/>
      <c r="Q16" s="9"/>
      <c r="R16" s="9"/>
      <c r="S16" s="9"/>
      <c r="T16" s="9"/>
      <c r="U16" s="9"/>
      <c r="V16" s="9"/>
      <c r="W16" s="9"/>
      <c r="X16" s="9"/>
      <c r="Y16" s="9"/>
      <c r="Z16" s="9"/>
      <c r="AA16" s="9"/>
      <c r="AB16" s="9"/>
      <c r="AC16" s="9"/>
      <c r="AD16" s="9"/>
    </row>
    <row r="17" spans="1:30" ht="14.25" customHeight="1" x14ac:dyDescent="0.3">
      <c r="A17" s="1"/>
      <c r="B17" t="s">
        <v>385</v>
      </c>
      <c r="C17" s="54" t="str">
        <f t="shared" si="0"/>
        <v>PASS</v>
      </c>
      <c r="D17" s="83">
        <f>Pro_Forma_BS!E29</f>
        <v>0</v>
      </c>
      <c r="E17" s="27">
        <v>0.01</v>
      </c>
      <c r="F17" s="1"/>
      <c r="G17" s="9"/>
      <c r="H17" s="9"/>
      <c r="I17" s="9"/>
      <c r="J17" s="9"/>
      <c r="K17" s="9"/>
      <c r="L17" s="9"/>
      <c r="M17" s="9"/>
      <c r="N17" s="9"/>
      <c r="O17" s="9"/>
      <c r="P17" s="9"/>
      <c r="Q17" s="9"/>
      <c r="R17" s="9"/>
      <c r="S17" s="9"/>
      <c r="T17" s="9"/>
      <c r="U17" s="9"/>
      <c r="V17" s="9"/>
      <c r="W17" s="9"/>
      <c r="X17" s="9"/>
      <c r="Y17" s="9"/>
      <c r="Z17" s="9"/>
      <c r="AA17" s="9"/>
      <c r="AB17" s="9"/>
      <c r="AC17" s="9"/>
      <c r="AD17" s="9"/>
    </row>
    <row r="18" spans="1:30" ht="14.25" customHeight="1" x14ac:dyDescent="0.3">
      <c r="A18" s="1"/>
      <c r="B18" t="s">
        <v>386</v>
      </c>
      <c r="C18" s="54" t="str">
        <f t="shared" si="0"/>
        <v>PASS</v>
      </c>
      <c r="D18" s="83">
        <f>Pro_Forma_BS!F29</f>
        <v>0</v>
      </c>
      <c r="E18" s="27">
        <v>0.01</v>
      </c>
      <c r="F18" s="1"/>
      <c r="G18" s="9"/>
      <c r="H18" s="9"/>
      <c r="I18" s="9"/>
      <c r="J18" s="9"/>
      <c r="K18" s="9"/>
      <c r="L18" s="9"/>
      <c r="M18" s="9"/>
      <c r="N18" s="9"/>
      <c r="O18" s="9"/>
      <c r="P18" s="9"/>
      <c r="Q18" s="9"/>
      <c r="R18" s="9"/>
      <c r="S18" s="9"/>
      <c r="T18" s="9"/>
      <c r="U18" s="9"/>
      <c r="V18" s="9"/>
      <c r="W18" s="9"/>
      <c r="X18" s="9"/>
      <c r="Y18" s="9"/>
      <c r="Z18" s="9"/>
      <c r="AA18" s="9"/>
      <c r="AB18" s="9"/>
      <c r="AC18" s="9"/>
      <c r="AD18" s="9"/>
    </row>
    <row r="19" spans="1:30" ht="14.25" customHeight="1" x14ac:dyDescent="0.3">
      <c r="A19" s="1"/>
      <c r="B19" t="s">
        <v>387</v>
      </c>
      <c r="C19" s="54" t="str">
        <f t="shared" si="0"/>
        <v>PASS</v>
      </c>
      <c r="D19" s="83">
        <f>Pro_Forma_BS!G29</f>
        <v>0</v>
      </c>
      <c r="E19" s="27">
        <v>0.01</v>
      </c>
      <c r="F19" s="1"/>
      <c r="G19" s="9"/>
      <c r="H19" s="9"/>
      <c r="I19" s="9"/>
      <c r="J19" s="9"/>
      <c r="K19" s="9"/>
      <c r="L19" s="9"/>
      <c r="M19" s="9"/>
      <c r="N19" s="9"/>
      <c r="O19" s="9"/>
      <c r="P19" s="9"/>
      <c r="Q19" s="9"/>
      <c r="R19" s="9"/>
      <c r="S19" s="9"/>
      <c r="T19" s="9"/>
      <c r="U19" s="9"/>
      <c r="V19" s="9"/>
      <c r="W19" s="9"/>
      <c r="X19" s="9"/>
      <c r="Y19" s="9"/>
      <c r="Z19" s="9"/>
      <c r="AA19" s="9"/>
      <c r="AB19" s="9"/>
      <c r="AC19" s="9"/>
      <c r="AD19" s="9"/>
    </row>
    <row r="20" spans="1:30" ht="14.25" customHeight="1" x14ac:dyDescent="0.3">
      <c r="A20" s="1"/>
      <c r="B20" t="s">
        <v>388</v>
      </c>
      <c r="C20" s="54" t="str">
        <f t="shared" si="0"/>
        <v>PASS</v>
      </c>
      <c r="D20" s="83">
        <f>Pro_Forma_BS!H29</f>
        <v>0</v>
      </c>
      <c r="E20" s="27">
        <v>0.01</v>
      </c>
      <c r="F20" s="1"/>
      <c r="G20" s="9"/>
      <c r="H20" s="9"/>
      <c r="I20" s="9"/>
      <c r="J20" s="9"/>
      <c r="K20" s="9"/>
      <c r="L20" s="9"/>
      <c r="M20" s="9"/>
      <c r="N20" s="9"/>
      <c r="O20" s="9"/>
      <c r="P20" s="9"/>
      <c r="Q20" s="9"/>
      <c r="R20" s="9"/>
      <c r="S20" s="9"/>
      <c r="T20" s="9"/>
      <c r="U20" s="9"/>
      <c r="V20" s="9"/>
      <c r="W20" s="9"/>
      <c r="X20" s="9"/>
      <c r="Y20" s="9"/>
      <c r="Z20" s="9"/>
      <c r="AA20" s="9"/>
      <c r="AB20" s="9"/>
      <c r="AC20" s="9"/>
      <c r="AD20" s="9"/>
    </row>
    <row r="21" spans="1:30" ht="14.25" customHeight="1" x14ac:dyDescent="0.3">
      <c r="A21" s="1"/>
      <c r="B21" t="s">
        <v>389</v>
      </c>
      <c r="C21" s="54" t="str">
        <f t="shared" si="0"/>
        <v>PASS</v>
      </c>
      <c r="D21" s="83">
        <f>Credit_Metrics!D8-Credit_Metrics!C11</f>
        <v>0</v>
      </c>
      <c r="E21" s="27">
        <f>0.01</f>
        <v>0.01</v>
      </c>
      <c r="F21" s="5" t="s">
        <v>390</v>
      </c>
      <c r="G21" s="9"/>
      <c r="H21" s="9"/>
      <c r="I21" s="9"/>
      <c r="J21" s="9"/>
      <c r="K21" s="9"/>
      <c r="L21" s="9"/>
      <c r="M21" s="9"/>
      <c r="N21" s="9"/>
      <c r="O21" s="9"/>
      <c r="P21" s="9"/>
      <c r="Q21" s="9"/>
      <c r="R21" s="9"/>
      <c r="S21" s="9"/>
      <c r="T21" s="9"/>
      <c r="U21" s="9"/>
      <c r="V21" s="9"/>
      <c r="W21" s="9"/>
      <c r="X21" s="9"/>
      <c r="Y21" s="9"/>
      <c r="Z21" s="9"/>
      <c r="AA21" s="9"/>
      <c r="AB21" s="9"/>
      <c r="AC21" s="9"/>
      <c r="AD21" s="9"/>
    </row>
    <row r="22" spans="1:30" ht="14.25" customHeight="1" x14ac:dyDescent="0.3">
      <c r="A22" s="1"/>
      <c r="B22" t="s">
        <v>391</v>
      </c>
      <c r="C22" s="54" t="str">
        <f t="shared" si="0"/>
        <v>PASS</v>
      </c>
      <c r="D22" s="83">
        <f>Sensitivity!F11-Accretion_Dilution!E12</f>
        <v>0</v>
      </c>
      <c r="E22" s="27">
        <f>0.0001</f>
        <v>1E-4</v>
      </c>
      <c r="F22" s="5" t="s">
        <v>392</v>
      </c>
      <c r="G22" s="9"/>
      <c r="H22" s="9"/>
      <c r="I22" s="9"/>
      <c r="J22" s="9"/>
      <c r="K22" s="9"/>
      <c r="L22" s="9"/>
      <c r="M22" s="9"/>
      <c r="N22" s="9"/>
      <c r="O22" s="9"/>
      <c r="P22" s="9"/>
      <c r="Q22" s="9"/>
      <c r="R22" s="9"/>
      <c r="S22" s="9"/>
      <c r="T22" s="9"/>
      <c r="U22" s="9"/>
      <c r="V22" s="9"/>
      <c r="W22" s="9"/>
      <c r="X22" s="9"/>
      <c r="Y22" s="9"/>
      <c r="Z22" s="9"/>
      <c r="AA22" s="9"/>
      <c r="AB22" s="9"/>
      <c r="AC22" s="9"/>
      <c r="AD22" s="9"/>
    </row>
    <row r="23" spans="1:30" ht="14.25" customHeight="1" x14ac:dyDescent="0.3">
      <c r="A23" s="1"/>
      <c r="B23" t="s">
        <v>393</v>
      </c>
      <c r="C23" s="54" t="str">
        <f t="shared" si="0"/>
        <v>PASS</v>
      </c>
      <c r="D23" s="83">
        <f>2-(Assumptions!C61+Assumptions!C62+Assumptions!C63+Assumptions!C64+Assumptions!C65)</f>
        <v>1</v>
      </c>
      <c r="E23" s="27">
        <f>2</f>
        <v>2</v>
      </c>
      <c r="F23" s="5" t="s">
        <v>394</v>
      </c>
      <c r="G23" s="9"/>
      <c r="H23" s="9"/>
      <c r="I23" s="9"/>
      <c r="J23" s="9"/>
      <c r="K23" s="9"/>
      <c r="L23" s="9"/>
      <c r="M23" s="9"/>
      <c r="N23" s="9"/>
      <c r="O23" s="9"/>
      <c r="P23" s="9"/>
      <c r="Q23" s="9"/>
      <c r="R23" s="9"/>
      <c r="S23" s="9"/>
      <c r="T23" s="9"/>
      <c r="U23" s="9"/>
      <c r="V23" s="9"/>
      <c r="W23" s="9"/>
      <c r="X23" s="9"/>
      <c r="Y23" s="9"/>
      <c r="Z23" s="9"/>
      <c r="AA23" s="9"/>
      <c r="AB23" s="9"/>
      <c r="AC23" s="9"/>
      <c r="AD23" s="9"/>
    </row>
    <row r="24" spans="1:30" ht="14.25" customHeight="1" x14ac:dyDescent="0.3">
      <c r="A24" s="1"/>
      <c r="B24" t="s">
        <v>395</v>
      </c>
      <c r="C24" s="54" t="str">
        <f t="shared" si="0"/>
        <v>PASS</v>
      </c>
      <c r="D24" s="83">
        <f>Transaction_Summary!C31</f>
        <v>0.02</v>
      </c>
      <c r="E24" s="27">
        <f>100</f>
        <v>100</v>
      </c>
      <c r="F24" s="5" t="s">
        <v>396</v>
      </c>
      <c r="G24" s="9"/>
      <c r="H24" s="9"/>
      <c r="I24" s="9"/>
      <c r="J24" s="9"/>
      <c r="K24" s="9"/>
      <c r="L24" s="9"/>
      <c r="M24" s="9"/>
      <c r="N24" s="9"/>
      <c r="O24" s="9"/>
      <c r="P24" s="9"/>
      <c r="Q24" s="9"/>
      <c r="R24" s="9"/>
      <c r="S24" s="9"/>
      <c r="T24" s="9"/>
      <c r="U24" s="9"/>
      <c r="V24" s="9"/>
      <c r="W24" s="9"/>
      <c r="X24" s="9"/>
      <c r="Y24" s="9"/>
      <c r="Z24" s="9"/>
      <c r="AA24" s="9"/>
      <c r="AB24" s="9"/>
      <c r="AC24" s="9"/>
      <c r="AD24" s="9"/>
    </row>
    <row r="25" spans="1:30" ht="14.25" customHeight="1" x14ac:dyDescent="0.3">
      <c r="A25" s="1"/>
      <c r="B25" t="s">
        <v>397</v>
      </c>
      <c r="C25" s="54" t="str">
        <f>IF(ABS(D25)&gt;=E25,"PASS","FAIL")</f>
        <v>PASS</v>
      </c>
      <c r="D25" s="83">
        <f>Buyer_Returns!C10-Buyer_Returns!C23</f>
        <v>1.5691631431348581</v>
      </c>
      <c r="E25" s="27">
        <f>1</f>
        <v>1</v>
      </c>
      <c r="F25" s="5" t="s">
        <v>398</v>
      </c>
      <c r="G25" s="9"/>
      <c r="H25" s="9"/>
      <c r="I25" s="9"/>
      <c r="J25" s="9"/>
      <c r="K25" s="9"/>
      <c r="L25" s="9"/>
      <c r="M25" s="9"/>
      <c r="N25" s="9"/>
      <c r="O25" s="9"/>
      <c r="P25" s="9"/>
      <c r="Q25" s="9"/>
      <c r="R25" s="9"/>
      <c r="S25" s="9"/>
      <c r="T25" s="9"/>
      <c r="U25" s="9"/>
      <c r="V25" s="9"/>
      <c r="W25" s="9"/>
      <c r="X25" s="9"/>
      <c r="Y25" s="9"/>
      <c r="Z25" s="9"/>
      <c r="AA25" s="9"/>
      <c r="AB25" s="9"/>
      <c r="AC25" s="9"/>
      <c r="AD25" s="9"/>
    </row>
    <row r="26" spans="1:30" ht="14.25" customHeight="1" x14ac:dyDescent="0.3">
      <c r="A26" s="1"/>
      <c r="B26" t="s">
        <v>399</v>
      </c>
      <c r="C26" s="54" t="str">
        <f t="shared" si="0"/>
        <v>PASS</v>
      </c>
      <c r="D26" s="83">
        <f>Buyer_Returns!C24-Buyer_Returns!C10</f>
        <v>-1.3191631431348581</v>
      </c>
      <c r="E26" s="27">
        <f>100</f>
        <v>100</v>
      </c>
      <c r="F26" s="5" t="s">
        <v>400</v>
      </c>
      <c r="G26" s="9"/>
      <c r="H26" s="9"/>
      <c r="I26" s="9"/>
      <c r="J26" s="9"/>
      <c r="K26" s="9"/>
      <c r="L26" s="9"/>
      <c r="M26" s="9"/>
      <c r="N26" s="9"/>
      <c r="O26" s="9"/>
      <c r="P26" s="9"/>
      <c r="Q26" s="9"/>
      <c r="R26" s="9"/>
      <c r="S26" s="9"/>
      <c r="T26" s="9"/>
      <c r="U26" s="9"/>
      <c r="V26" s="9"/>
      <c r="W26" s="9"/>
      <c r="X26" s="9"/>
      <c r="Y26" s="9"/>
      <c r="Z26" s="9"/>
      <c r="AA26" s="9"/>
      <c r="AB26" s="9"/>
      <c r="AC26" s="9"/>
      <c r="AD26" s="9"/>
    </row>
    <row r="27" spans="1:30" ht="14.25" customHeight="1" x14ac:dyDescent="0.3">
      <c r="A27" s="1"/>
      <c r="B27" s="1"/>
      <c r="C27" s="1"/>
      <c r="D27" s="1"/>
      <c r="E27" s="1"/>
      <c r="F27" s="1"/>
      <c r="G27" s="9"/>
      <c r="H27" s="9"/>
      <c r="I27" s="9"/>
      <c r="J27" s="9"/>
      <c r="K27" s="9"/>
      <c r="L27" s="9"/>
      <c r="M27" s="9"/>
      <c r="N27" s="9"/>
      <c r="O27" s="9"/>
      <c r="P27" s="9"/>
      <c r="Q27" s="9"/>
      <c r="R27" s="9"/>
      <c r="S27" s="9"/>
      <c r="T27" s="9"/>
      <c r="U27" s="9"/>
      <c r="V27" s="9"/>
      <c r="W27" s="9"/>
      <c r="X27" s="9"/>
      <c r="Y27" s="9"/>
      <c r="Z27" s="9"/>
      <c r="AA27" s="9"/>
      <c r="AB27" s="9"/>
      <c r="AC27" s="9"/>
      <c r="AD27" s="9"/>
    </row>
    <row r="28" spans="1:30" ht="14.25" customHeight="1" x14ac:dyDescent="0.3">
      <c r="A28" s="1"/>
      <c r="B28" s="1"/>
      <c r="C28" s="1"/>
      <c r="D28" s="1"/>
      <c r="E28" s="1"/>
      <c r="F28" s="1"/>
      <c r="G28" s="9"/>
      <c r="H28" s="9"/>
      <c r="I28" s="9"/>
      <c r="J28" s="9"/>
      <c r="K28" s="9"/>
      <c r="L28" s="9"/>
      <c r="M28" s="9"/>
      <c r="N28" s="9"/>
      <c r="O28" s="9"/>
      <c r="P28" s="9"/>
      <c r="Q28" s="9"/>
      <c r="R28" s="9"/>
      <c r="S28" s="9"/>
      <c r="T28" s="9"/>
      <c r="U28" s="9"/>
      <c r="V28" s="9"/>
      <c r="W28" s="9"/>
      <c r="X28" s="9"/>
      <c r="Y28" s="9"/>
      <c r="Z28" s="9"/>
      <c r="AA28" s="9"/>
      <c r="AB28" s="9"/>
      <c r="AC28" s="9"/>
      <c r="AD28" s="9"/>
    </row>
    <row r="29" spans="1:30" ht="14.25" customHeight="1" x14ac:dyDescent="0.3">
      <c r="A29" s="1"/>
      <c r="B29" s="31" t="s">
        <v>401</v>
      </c>
      <c r="C29" s="55">
        <f>COUNTIF(C7:C26,"PASS")</f>
        <v>20</v>
      </c>
      <c r="D29" s="1"/>
      <c r="E29" s="1"/>
      <c r="F29" s="1"/>
      <c r="G29" s="9"/>
      <c r="H29" s="9"/>
      <c r="I29" s="9"/>
      <c r="J29" s="9"/>
      <c r="K29" s="9"/>
      <c r="L29" s="9"/>
      <c r="M29" s="9"/>
      <c r="N29" s="9"/>
      <c r="O29" s="9"/>
      <c r="P29" s="9"/>
      <c r="Q29" s="9"/>
      <c r="R29" s="9"/>
      <c r="S29" s="9"/>
      <c r="T29" s="9"/>
      <c r="U29" s="9"/>
      <c r="V29" s="9"/>
      <c r="W29" s="9"/>
      <c r="X29" s="9"/>
      <c r="Y29" s="9"/>
      <c r="Z29" s="9"/>
      <c r="AA29" s="9"/>
      <c r="AB29" s="9"/>
      <c r="AC29" s="9"/>
      <c r="AD29" s="9"/>
    </row>
    <row r="30" spans="1:30" ht="14.25" customHeight="1" x14ac:dyDescent="0.3">
      <c r="A30" s="1"/>
      <c r="B30" s="31" t="s">
        <v>402</v>
      </c>
      <c r="C30" s="56">
        <f>COUNTIF(C7:C26,"FAIL")</f>
        <v>0</v>
      </c>
      <c r="D30" s="1"/>
      <c r="E30" s="1"/>
      <c r="F30" s="1"/>
      <c r="G30" s="9"/>
      <c r="H30" s="9"/>
      <c r="I30" s="9"/>
      <c r="J30" s="9"/>
      <c r="K30" s="9"/>
      <c r="L30" s="9"/>
      <c r="M30" s="9"/>
      <c r="N30" s="9"/>
      <c r="O30" s="9"/>
      <c r="P30" s="9"/>
      <c r="Q30" s="9"/>
      <c r="R30" s="9"/>
      <c r="S30" s="9"/>
      <c r="T30" s="9"/>
      <c r="U30" s="9"/>
      <c r="V30" s="9"/>
      <c r="W30" s="9"/>
      <c r="X30" s="9"/>
      <c r="Y30" s="9"/>
      <c r="Z30" s="9"/>
      <c r="AA30" s="9"/>
      <c r="AB30" s="9"/>
      <c r="AC30" s="9"/>
      <c r="AD30" s="9"/>
    </row>
  </sheetData>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Cover</vt:lpstr>
      <vt:lpstr>Dashboard</vt:lpstr>
      <vt:lpstr>Assumptions</vt:lpstr>
      <vt:lpstr>Transaction_Summary</vt:lpstr>
      <vt:lpstr>Pro_Forma_IS</vt:lpstr>
      <vt:lpstr>Pro_Forma_BS</vt:lpstr>
      <vt:lpstr>Pro_Forma_CF</vt:lpstr>
      <vt:lpstr>Standalone_IS</vt:lpstr>
      <vt:lpstr>Accretion_Dilution</vt:lpstr>
      <vt:lpstr>Credit_Metrics</vt:lpstr>
      <vt:lpstr>Buyer_Returns</vt:lpstr>
      <vt:lpstr>Sensitivity</vt:lpstr>
      <vt:lpstr>Checks</vt:lpstr>
      <vt:lpstr>Base_ProForma_EPS</vt:lpstr>
      <vt:lpstr>Base_SA_EPS</vt:lpstr>
      <vt:lpstr>Base_Synergy</vt:lpstr>
      <vt:lpstr>Exit_EBITDA_Multiple</vt:lpstr>
      <vt:lpstr>Phase_Y3</vt:lpstr>
      <vt:lpstr>Tax_Rate</vt:lpstr>
      <vt:lpstr>Total_Shares</vt:lpstr>
      <vt:lpstr>Y5_Acq_Debt</vt:lpstr>
      <vt:lpstr>Y5_Cash</vt:lpstr>
      <vt:lpstr>Y5_EBITDA</vt:lpstr>
      <vt:lpstr>Y5_New_Debt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Nimish Moondra</cp:lastModifiedBy>
  <cp:revision>3</cp:revision>
  <cp:lastPrinted>2026-08-21T17:16:39Z</cp:lastPrinted>
  <dcterms:created xsi:type="dcterms:W3CDTF">2026-08-05T23:16:10Z</dcterms:created>
  <dcterms:modified xsi:type="dcterms:W3CDTF">2026-08-21T17:16:54Z</dcterms:modified>
  <dc:language>en-GB</dc:language>
</cp:coreProperties>
</file>